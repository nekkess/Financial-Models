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1685cd5063f9d2/Dokumenty/Models stocks/"/>
    </mc:Choice>
  </mc:AlternateContent>
  <xr:revisionPtr revIDLastSave="1784" documentId="8_{63E38267-FE1F-416D-A494-19AD66F7B710}" xr6:coauthVersionLast="47" xr6:coauthVersionMax="47" xr10:uidLastSave="{46D9E8BC-8FEB-429D-B318-B6E5A7A19BF8}"/>
  <bookViews>
    <workbookView minimized="1" xWindow="4008" yWindow="4008" windowWidth="17280" windowHeight="9960" firstSheet="3" activeTab="5" xr2:uid="{C2A537D2-81CC-41DE-90E3-F8EDF7DA01A3}"/>
  </bookViews>
  <sheets>
    <sheet name="Main" sheetId="1" r:id="rId1"/>
    <sheet name="Model" sheetId="2" r:id="rId2"/>
    <sheet name="ALDURAZYME" sheetId="7" r:id="rId3"/>
    <sheet name="NAGLAZYME" sheetId="8" r:id="rId4"/>
    <sheet name="Brineura" sheetId="3" r:id="rId5"/>
    <sheet name="VIMIZIM" sheetId="6" r:id="rId6"/>
    <sheet name="VOXZOGO" sheetId="5" r:id="rId7"/>
    <sheet name="Roctavian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2" l="1"/>
  <c r="Q29" i="2"/>
  <c r="Q28" i="2"/>
  <c r="Q27" i="2"/>
  <c r="Q24" i="2"/>
  <c r="Q23" i="2"/>
  <c r="Q22" i="2"/>
  <c r="Q21" i="2"/>
  <c r="Q25" i="2" s="1"/>
  <c r="Q19" i="2"/>
  <c r="Q17" i="2"/>
  <c r="Q18" i="2" s="1"/>
  <c r="Q9" i="2"/>
  <c r="Q10" i="2"/>
  <c r="Q11" i="2"/>
  <c r="Q12" i="2"/>
  <c r="Q13" i="2"/>
  <c r="Q14" i="2"/>
  <c r="Q8" i="2"/>
  <c r="P25" i="2"/>
  <c r="P18" i="2"/>
  <c r="P20" i="2" s="1"/>
  <c r="P39" i="2" s="1"/>
  <c r="U31" i="2"/>
  <c r="U29" i="2"/>
  <c r="U28" i="2"/>
  <c r="U27" i="2"/>
  <c r="U24" i="2"/>
  <c r="U23" i="2"/>
  <c r="U22" i="2"/>
  <c r="U21" i="2"/>
  <c r="U19" i="2"/>
  <c r="U17" i="2"/>
  <c r="U9" i="2"/>
  <c r="U10" i="2"/>
  <c r="U11" i="2"/>
  <c r="U12" i="2"/>
  <c r="U13" i="2"/>
  <c r="U14" i="2"/>
  <c r="U15" i="2"/>
  <c r="U8" i="2"/>
  <c r="S70" i="2"/>
  <c r="O70" i="2"/>
  <c r="S66" i="2"/>
  <c r="T66" i="2" s="1"/>
  <c r="U66" i="2" s="1"/>
  <c r="O66" i="2"/>
  <c r="P66" i="2" s="1"/>
  <c r="S62" i="2"/>
  <c r="T62" i="2" s="1"/>
  <c r="O62" i="2"/>
  <c r="P62" i="2" s="1"/>
  <c r="O25" i="2"/>
  <c r="S25" i="2"/>
  <c r="O16" i="2"/>
  <c r="O18" i="2" s="1"/>
  <c r="S16" i="2"/>
  <c r="S18" i="2" s="1"/>
  <c r="S20" i="2" s="1"/>
  <c r="S39" i="2" s="1"/>
  <c r="R88" i="2"/>
  <c r="N88" i="2"/>
  <c r="N25" i="2"/>
  <c r="R25" i="2"/>
  <c r="N16" i="2"/>
  <c r="N18" i="2" s="1"/>
  <c r="N20" i="2" s="1"/>
  <c r="N39" i="2" s="1"/>
  <c r="R16" i="2"/>
  <c r="R18" i="2" s="1"/>
  <c r="BN21" i="2"/>
  <c r="BO21" i="2" s="1"/>
  <c r="BP21" i="2" s="1"/>
  <c r="BQ21" i="2" s="1"/>
  <c r="BR21" i="2" s="1"/>
  <c r="BS21" i="2" s="1"/>
  <c r="BT21" i="2" s="1"/>
  <c r="BU21" i="2" s="1"/>
  <c r="BG25" i="2"/>
  <c r="BH25" i="2"/>
  <c r="BI25" i="2"/>
  <c r="BI18" i="2"/>
  <c r="BI20" i="2" s="1"/>
  <c r="BH18" i="2"/>
  <c r="BH20" i="2" s="1"/>
  <c r="BH39" i="2" s="1"/>
  <c r="BG18" i="2"/>
  <c r="BG20" i="2" s="1"/>
  <c r="BG39" i="2" s="1"/>
  <c r="T88" i="2" l="1"/>
  <c r="U70" i="2"/>
  <c r="O88" i="2"/>
  <c r="U25" i="2"/>
  <c r="T70" i="2"/>
  <c r="S88" i="2"/>
  <c r="Q66" i="2"/>
  <c r="Q20" i="2"/>
  <c r="Q26" i="2" s="1"/>
  <c r="P88" i="2"/>
  <c r="S37" i="2"/>
  <c r="O20" i="2"/>
  <c r="O39" i="2" s="1"/>
  <c r="R37" i="2"/>
  <c r="R20" i="2"/>
  <c r="R39" i="2" s="1"/>
  <c r="P70" i="2"/>
  <c r="Q70" i="2" s="1"/>
  <c r="S26" i="2"/>
  <c r="P26" i="2"/>
  <c r="N26" i="2"/>
  <c r="U16" i="2"/>
  <c r="U18" i="2" s="1"/>
  <c r="U20" i="2" s="1"/>
  <c r="U39" i="2" s="1"/>
  <c r="BI39" i="2"/>
  <c r="BI26" i="2"/>
  <c r="BH26" i="2"/>
  <c r="BG26" i="2"/>
  <c r="BI37" i="2"/>
  <c r="BH37" i="2"/>
  <c r="Q39" i="2" l="1"/>
  <c r="R26" i="2"/>
  <c r="R30" i="2" s="1"/>
  <c r="O26" i="2"/>
  <c r="O40" i="2" s="1"/>
  <c r="O30" i="2"/>
  <c r="P40" i="2"/>
  <c r="P30" i="2"/>
  <c r="Q40" i="2"/>
  <c r="Q30" i="2"/>
  <c r="U26" i="2"/>
  <c r="U40" i="2" s="1"/>
  <c r="S40" i="2"/>
  <c r="S30" i="2"/>
  <c r="N30" i="2"/>
  <c r="N40" i="2"/>
  <c r="BG40" i="2"/>
  <c r="BG30" i="2"/>
  <c r="BH40" i="2"/>
  <c r="BH30" i="2"/>
  <c r="BI30" i="2"/>
  <c r="BI40" i="2"/>
  <c r="R40" i="2" l="1"/>
  <c r="N38" i="2"/>
  <c r="N32" i="2"/>
  <c r="Q32" i="2"/>
  <c r="Q38" i="2"/>
  <c r="P32" i="2"/>
  <c r="P38" i="2"/>
  <c r="O32" i="2"/>
  <c r="O38" i="2"/>
  <c r="S38" i="2"/>
  <c r="S32" i="2"/>
  <c r="U30" i="2"/>
  <c r="U32" i="2" s="1"/>
  <c r="R32" i="2"/>
  <c r="R38" i="2"/>
  <c r="BH38" i="2"/>
  <c r="BH32" i="2"/>
  <c r="BG38" i="2"/>
  <c r="BG32" i="2"/>
  <c r="BI38" i="2"/>
  <c r="BI32" i="2"/>
  <c r="R33" i="2" l="1"/>
  <c r="R41" i="2"/>
  <c r="S41" i="2"/>
  <c r="S33" i="2"/>
  <c r="O33" i="2"/>
  <c r="O41" i="2"/>
  <c r="P41" i="2"/>
  <c r="P33" i="2"/>
  <c r="U38" i="2"/>
  <c r="Q41" i="2"/>
  <c r="Q33" i="2"/>
  <c r="N41" i="2"/>
  <c r="N33" i="2"/>
  <c r="U41" i="2"/>
  <c r="U33" i="2"/>
  <c r="BI41" i="2"/>
  <c r="BI33" i="2"/>
  <c r="BG41" i="2"/>
  <c r="BG33" i="2"/>
  <c r="BH41" i="2"/>
  <c r="BH33" i="2"/>
  <c r="AB9" i="2" l="1"/>
  <c r="AB10" i="2"/>
  <c r="AB11" i="2"/>
  <c r="AB12" i="2"/>
  <c r="AB13" i="2"/>
  <c r="AB14" i="2"/>
  <c r="AB15" i="2"/>
  <c r="AB8" i="2"/>
  <c r="AJ2" i="2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C79" i="2" l="1"/>
  <c r="AC78" i="2"/>
  <c r="AC77" i="2"/>
  <c r="AC76" i="2"/>
  <c r="AC75" i="2"/>
  <c r="AC72" i="2"/>
  <c r="AC71" i="2"/>
  <c r="AC70" i="2"/>
  <c r="AC69" i="2"/>
  <c r="AC68" i="2"/>
  <c r="AC67" i="2"/>
  <c r="AC66" i="2"/>
  <c r="BM80" i="2"/>
  <c r="BM73" i="2"/>
  <c r="AC46" i="2"/>
  <c r="AC47" i="2"/>
  <c r="AC48" i="2"/>
  <c r="AC49" i="2"/>
  <c r="AC50" i="2"/>
  <c r="AC51" i="2"/>
  <c r="AC52" i="2"/>
  <c r="AC53" i="2"/>
  <c r="AC54" i="2"/>
  <c r="AC56" i="2"/>
  <c r="AC57" i="2"/>
  <c r="AC58" i="2"/>
  <c r="AC59" i="2"/>
  <c r="AC60" i="2"/>
  <c r="AC61" i="2"/>
  <c r="AC45" i="2"/>
  <c r="BM55" i="2"/>
  <c r="AC55" i="2" s="1"/>
  <c r="AC25" i="2"/>
  <c r="AC16" i="2"/>
  <c r="AC18" i="2" s="1"/>
  <c r="AC20" i="2" s="1"/>
  <c r="BM25" i="2"/>
  <c r="BN11" i="2"/>
  <c r="BO11" i="2" s="1"/>
  <c r="BP11" i="2" s="1"/>
  <c r="BQ11" i="2" s="1"/>
  <c r="BR11" i="2" s="1"/>
  <c r="BS11" i="2" s="1"/>
  <c r="BT11" i="2" s="1"/>
  <c r="BU11" i="2" s="1"/>
  <c r="O10" i="1"/>
  <c r="O9" i="1"/>
  <c r="AB82" i="2"/>
  <c r="AC82" i="2" s="1"/>
  <c r="AB80" i="2"/>
  <c r="N10" i="1"/>
  <c r="AB25" i="2"/>
  <c r="AB18" i="2"/>
  <c r="N9" i="1"/>
  <c r="Y82" i="2"/>
  <c r="Y76" i="2"/>
  <c r="Y77" i="2"/>
  <c r="Y78" i="2"/>
  <c r="Y79" i="2"/>
  <c r="Y75" i="2"/>
  <c r="Y72" i="2"/>
  <c r="Y70" i="2"/>
  <c r="Y69" i="2"/>
  <c r="Y68" i="2"/>
  <c r="Y67" i="2"/>
  <c r="Y66" i="2"/>
  <c r="Y61" i="2"/>
  <c r="Y60" i="2"/>
  <c r="Y59" i="2"/>
  <c r="Y58" i="2"/>
  <c r="Y57" i="2"/>
  <c r="Y56" i="2"/>
  <c r="Y55" i="2"/>
  <c r="Y54" i="2"/>
  <c r="Y53" i="2"/>
  <c r="Y52" i="2"/>
  <c r="Y50" i="2"/>
  <c r="Y49" i="2"/>
  <c r="Y48" i="2"/>
  <c r="Y47" i="2"/>
  <c r="Y46" i="2"/>
  <c r="Y45" i="2"/>
  <c r="X80" i="2"/>
  <c r="X73" i="2"/>
  <c r="Y31" i="2"/>
  <c r="Y29" i="2"/>
  <c r="Y28" i="2"/>
  <c r="Y27" i="2"/>
  <c r="Y24" i="2"/>
  <c r="Y23" i="2"/>
  <c r="Y22" i="2"/>
  <c r="Y21" i="2"/>
  <c r="Y19" i="2"/>
  <c r="Y17" i="2"/>
  <c r="Y10" i="2"/>
  <c r="Y11" i="2"/>
  <c r="Y12" i="2"/>
  <c r="Y13" i="2"/>
  <c r="Y14" i="2"/>
  <c r="Y15" i="2"/>
  <c r="T25" i="2"/>
  <c r="X25" i="2"/>
  <c r="T16" i="2"/>
  <c r="T18" i="2" s="1"/>
  <c r="X16" i="2"/>
  <c r="X18" i="2" s="1"/>
  <c r="X20" i="2" s="1"/>
  <c r="X39" i="2" s="1"/>
  <c r="M22" i="1"/>
  <c r="AA80" i="2"/>
  <c r="W25" i="2"/>
  <c r="AA25" i="2"/>
  <c r="W16" i="2"/>
  <c r="W18" i="2" s="1"/>
  <c r="AA16" i="2"/>
  <c r="AA18" i="2" s="1"/>
  <c r="V80" i="2"/>
  <c r="V73" i="2"/>
  <c r="V25" i="2"/>
  <c r="V16" i="2"/>
  <c r="V18" i="2" s="1"/>
  <c r="Z80" i="2"/>
  <c r="Z73" i="2"/>
  <c r="Z25" i="2"/>
  <c r="Z16" i="2"/>
  <c r="Z18" i="2" s="1"/>
  <c r="BJ80" i="2"/>
  <c r="BK80" i="2"/>
  <c r="BL80" i="2"/>
  <c r="BK73" i="2"/>
  <c r="BL73" i="2"/>
  <c r="BJ73" i="2"/>
  <c r="BN28" i="2"/>
  <c r="BO28" i="2" s="1"/>
  <c r="BN29" i="2"/>
  <c r="BO29" i="2" s="1"/>
  <c r="BP29" i="2" s="1"/>
  <c r="BQ29" i="2" s="1"/>
  <c r="BR29" i="2" s="1"/>
  <c r="BS29" i="2" s="1"/>
  <c r="BT29" i="2" s="1"/>
  <c r="BU29" i="2" s="1"/>
  <c r="BN27" i="2"/>
  <c r="BO27" i="2" s="1"/>
  <c r="BP27" i="2" s="1"/>
  <c r="BQ27" i="2" s="1"/>
  <c r="BR27" i="2" s="1"/>
  <c r="BS27" i="2" s="1"/>
  <c r="BT27" i="2" s="1"/>
  <c r="BU27" i="2" s="1"/>
  <c r="BN22" i="2"/>
  <c r="BN17" i="2"/>
  <c r="BO17" i="2" s="1"/>
  <c r="BP17" i="2" s="1"/>
  <c r="BQ17" i="2" s="1"/>
  <c r="BR17" i="2" s="1"/>
  <c r="BS17" i="2" s="1"/>
  <c r="BT17" i="2" s="1"/>
  <c r="BU17" i="2" s="1"/>
  <c r="BN9" i="2"/>
  <c r="BO9" i="2" s="1"/>
  <c r="BP9" i="2" s="1"/>
  <c r="BQ9" i="2" s="1"/>
  <c r="BR9" i="2" s="1"/>
  <c r="BS9" i="2" s="1"/>
  <c r="BT9" i="2" s="1"/>
  <c r="BU9" i="2" s="1"/>
  <c r="BN10" i="2"/>
  <c r="BO10" i="2" s="1"/>
  <c r="BP10" i="2" s="1"/>
  <c r="BQ10" i="2" s="1"/>
  <c r="BR10" i="2" s="1"/>
  <c r="BS10" i="2" s="1"/>
  <c r="BT10" i="2" s="1"/>
  <c r="BU10" i="2" s="1"/>
  <c r="BN12" i="2"/>
  <c r="BO12" i="2" s="1"/>
  <c r="BP12" i="2" s="1"/>
  <c r="BQ12" i="2" s="1"/>
  <c r="BR12" i="2" s="1"/>
  <c r="BS12" i="2" s="1"/>
  <c r="BT12" i="2" s="1"/>
  <c r="BU12" i="2" s="1"/>
  <c r="BN13" i="2"/>
  <c r="BO13" i="2" s="1"/>
  <c r="BP13" i="2" s="1"/>
  <c r="BQ13" i="2" s="1"/>
  <c r="BR13" i="2" s="1"/>
  <c r="BS13" i="2" s="1"/>
  <c r="BT13" i="2" s="1"/>
  <c r="BU13" i="2" s="1"/>
  <c r="BN14" i="2"/>
  <c r="BO14" i="2" s="1"/>
  <c r="BP14" i="2" s="1"/>
  <c r="BQ14" i="2" s="1"/>
  <c r="BR14" i="2" s="1"/>
  <c r="BS14" i="2" s="1"/>
  <c r="BT14" i="2" s="1"/>
  <c r="BU14" i="2" s="1"/>
  <c r="BN15" i="2"/>
  <c r="BO15" i="2" s="1"/>
  <c r="BP15" i="2" s="1"/>
  <c r="BQ15" i="2" s="1"/>
  <c r="BR15" i="2" s="1"/>
  <c r="BS15" i="2" s="1"/>
  <c r="BT15" i="2" s="1"/>
  <c r="BU15" i="2" s="1"/>
  <c r="BN8" i="2"/>
  <c r="BO8" i="2" s="1"/>
  <c r="BP8" i="2" s="1"/>
  <c r="BQ8" i="2" s="1"/>
  <c r="BR8" i="2" s="1"/>
  <c r="BS8" i="2" s="1"/>
  <c r="BT8" i="2" s="1"/>
  <c r="BU8" i="2" s="1"/>
  <c r="BJ25" i="2"/>
  <c r="BK25" i="2"/>
  <c r="BL25" i="2"/>
  <c r="V20" i="2" l="1"/>
  <c r="V39" i="2" s="1"/>
  <c r="V37" i="2"/>
  <c r="W20" i="2"/>
  <c r="W39" i="2" s="1"/>
  <c r="W37" i="2"/>
  <c r="T20" i="2"/>
  <c r="T39" i="2" s="1"/>
  <c r="T37" i="2"/>
  <c r="O12" i="1"/>
  <c r="O17" i="1" s="1"/>
  <c r="AC80" i="2"/>
  <c r="AC73" i="2"/>
  <c r="AC39" i="2"/>
  <c r="AC26" i="2"/>
  <c r="Y73" i="2"/>
  <c r="AB37" i="2"/>
  <c r="X37" i="2"/>
  <c r="Z37" i="2"/>
  <c r="Y16" i="2"/>
  <c r="Y18" i="2" s="1"/>
  <c r="Y20" i="2" s="1"/>
  <c r="Y39" i="2" s="1"/>
  <c r="Y25" i="2"/>
  <c r="AB20" i="2"/>
  <c r="AB39" i="2" s="1"/>
  <c r="Y80" i="2"/>
  <c r="AB73" i="2"/>
  <c r="BP28" i="2"/>
  <c r="BQ28" i="2" s="1"/>
  <c r="BR28" i="2" s="1"/>
  <c r="BS28" i="2" s="1"/>
  <c r="BT28" i="2" s="1"/>
  <c r="BU28" i="2" s="1"/>
  <c r="BT16" i="2"/>
  <c r="BT18" i="2" s="1"/>
  <c r="AA20" i="2"/>
  <c r="AA37" i="2"/>
  <c r="BS16" i="2"/>
  <c r="BS18" i="2" s="1"/>
  <c r="BO16" i="2"/>
  <c r="BO18" i="2" s="1"/>
  <c r="BR16" i="2"/>
  <c r="BR18" i="2" s="1"/>
  <c r="BN16" i="2"/>
  <c r="BN18" i="2" s="1"/>
  <c r="BQ16" i="2"/>
  <c r="BQ18" i="2" s="1"/>
  <c r="W26" i="2"/>
  <c r="BU16" i="2"/>
  <c r="BU18" i="2" s="1"/>
  <c r="BP16" i="2"/>
  <c r="BP18" i="2" s="1"/>
  <c r="BM16" i="2"/>
  <c r="BM18" i="2" s="1"/>
  <c r="BO22" i="2"/>
  <c r="BN25" i="2"/>
  <c r="T26" i="2"/>
  <c r="X26" i="2"/>
  <c r="N12" i="1"/>
  <c r="W80" i="2"/>
  <c r="W73" i="2"/>
  <c r="AA73" i="2"/>
  <c r="V26" i="2"/>
  <c r="Z20" i="2"/>
  <c r="O20" i="1" l="1"/>
  <c r="BM20" i="2"/>
  <c r="BM26" i="2" s="1"/>
  <c r="BM30" i="2" s="1"/>
  <c r="BM32" i="2" s="1"/>
  <c r="AC37" i="2"/>
  <c r="AC30" i="2"/>
  <c r="AC40" i="2"/>
  <c r="Y26" i="2"/>
  <c r="Y40" i="2" s="1"/>
  <c r="N20" i="1"/>
  <c r="N17" i="1"/>
  <c r="AB26" i="2"/>
  <c r="AB30" i="2" s="1"/>
  <c r="V30" i="2"/>
  <c r="V40" i="2"/>
  <c r="BQ37" i="2"/>
  <c r="BQ20" i="2"/>
  <c r="BN20" i="2"/>
  <c r="BN26" i="2" s="1"/>
  <c r="BN37" i="2"/>
  <c r="X40" i="2"/>
  <c r="X30" i="2"/>
  <c r="W40" i="2"/>
  <c r="W30" i="2"/>
  <c r="T30" i="2"/>
  <c r="T40" i="2"/>
  <c r="BP22" i="2"/>
  <c r="BO25" i="2"/>
  <c r="BR37" i="2"/>
  <c r="BR20" i="2"/>
  <c r="BO20" i="2"/>
  <c r="BO37" i="2"/>
  <c r="BS37" i="2"/>
  <c r="BS20" i="2"/>
  <c r="BP37" i="2"/>
  <c r="BP20" i="2"/>
  <c r="AA26" i="2"/>
  <c r="AA39" i="2"/>
  <c r="BU37" i="2"/>
  <c r="BU20" i="2"/>
  <c r="BT37" i="2"/>
  <c r="BT20" i="2"/>
  <c r="Z26" i="2"/>
  <c r="Z39" i="2"/>
  <c r="AC38" i="2" l="1"/>
  <c r="AC32" i="2"/>
  <c r="BM44" i="2"/>
  <c r="BM62" i="2" s="1"/>
  <c r="BM94" i="2"/>
  <c r="BM33" i="2"/>
  <c r="Y30" i="2"/>
  <c r="Y32" i="2" s="1"/>
  <c r="AB40" i="2"/>
  <c r="BO26" i="2"/>
  <c r="BO40" i="2" s="1"/>
  <c r="AB32" i="2"/>
  <c r="AB38" i="2"/>
  <c r="AA40" i="2"/>
  <c r="AA30" i="2"/>
  <c r="BQ22" i="2"/>
  <c r="BP25" i="2"/>
  <c r="BP26" i="2" s="1"/>
  <c r="X32" i="2"/>
  <c r="X38" i="2"/>
  <c r="BN40" i="2"/>
  <c r="BN30" i="2"/>
  <c r="BN31" i="2" s="1"/>
  <c r="BN32" i="2" s="1"/>
  <c r="T32" i="2"/>
  <c r="T38" i="2"/>
  <c r="V38" i="2"/>
  <c r="V32" i="2"/>
  <c r="W38" i="2"/>
  <c r="W32" i="2"/>
  <c r="Z30" i="2"/>
  <c r="Z40" i="2"/>
  <c r="BN41" i="2" l="1"/>
  <c r="Y38" i="2"/>
  <c r="BM88" i="2"/>
  <c r="BM83" i="2"/>
  <c r="BM85" i="2" s="1"/>
  <c r="AC41" i="2"/>
  <c r="AC33" i="2"/>
  <c r="AC44" i="2"/>
  <c r="AC62" i="2" s="1"/>
  <c r="BO30" i="2"/>
  <c r="BO31" i="2" s="1"/>
  <c r="BO32" i="2" s="1"/>
  <c r="BO41" i="2" s="1"/>
  <c r="X41" i="2"/>
  <c r="X33" i="2"/>
  <c r="X44" i="2"/>
  <c r="X62" i="2" s="1"/>
  <c r="Y41" i="2"/>
  <c r="Y33" i="2"/>
  <c r="Y44" i="2"/>
  <c r="Y62" i="2" s="1"/>
  <c r="W41" i="2"/>
  <c r="W44" i="2"/>
  <c r="W62" i="2" s="1"/>
  <c r="W33" i="2"/>
  <c r="V33" i="2"/>
  <c r="V44" i="2"/>
  <c r="V62" i="2" s="1"/>
  <c r="V41" i="2"/>
  <c r="BR22" i="2"/>
  <c r="BQ25" i="2"/>
  <c r="BQ26" i="2" s="1"/>
  <c r="T41" i="2"/>
  <c r="T33" i="2"/>
  <c r="AA38" i="2"/>
  <c r="AA32" i="2"/>
  <c r="AB44" i="2"/>
  <c r="AB62" i="2" s="1"/>
  <c r="AB33" i="2"/>
  <c r="AB41" i="2"/>
  <c r="BP40" i="2"/>
  <c r="BP30" i="2"/>
  <c r="BP31" i="2" s="1"/>
  <c r="BP32" i="2" s="1"/>
  <c r="BP41" i="2" s="1"/>
  <c r="Z32" i="2"/>
  <c r="Z38" i="2"/>
  <c r="AB63" i="2" l="1"/>
  <c r="AC63" i="2"/>
  <c r="AC88" i="2"/>
  <c r="AC83" i="2"/>
  <c r="AC85" i="2" s="1"/>
  <c r="AB88" i="2"/>
  <c r="AB83" i="2"/>
  <c r="AB85" i="2" s="1"/>
  <c r="W88" i="2"/>
  <c r="W83" i="2"/>
  <c r="W85" i="2" s="1"/>
  <c r="AA44" i="2"/>
  <c r="AA62" i="2" s="1"/>
  <c r="AA63" i="2" s="1"/>
  <c r="AA41" i="2"/>
  <c r="AA33" i="2"/>
  <c r="V88" i="2"/>
  <c r="V83" i="2"/>
  <c r="V85" i="2" s="1"/>
  <c r="Y88" i="2"/>
  <c r="Y83" i="2"/>
  <c r="Y85" i="2" s="1"/>
  <c r="X88" i="2"/>
  <c r="X83" i="2"/>
  <c r="X85" i="2" s="1"/>
  <c r="BQ40" i="2"/>
  <c r="BQ30" i="2"/>
  <c r="BQ31" i="2" s="1"/>
  <c r="BQ32" i="2" s="1"/>
  <c r="BQ41" i="2" s="1"/>
  <c r="BS22" i="2"/>
  <c r="BR25" i="2"/>
  <c r="BR26" i="2" s="1"/>
  <c r="Z44" i="2"/>
  <c r="Z62" i="2" s="1"/>
  <c r="Z63" i="2" s="1"/>
  <c r="Z41" i="2"/>
  <c r="Z33" i="2"/>
  <c r="BJ16" i="2"/>
  <c r="BJ18" i="2" s="1"/>
  <c r="BK16" i="2"/>
  <c r="BK18" i="2" s="1"/>
  <c r="BL16" i="2"/>
  <c r="BL18" i="2" s="1"/>
  <c r="BM37" i="2" s="1"/>
  <c r="M10" i="1"/>
  <c r="M9" i="1"/>
  <c r="BG2" i="2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AB89" i="2" l="1"/>
  <c r="BJ20" i="2"/>
  <c r="BJ26" i="2" s="1"/>
  <c r="BJ37" i="2"/>
  <c r="AC89" i="2"/>
  <c r="M12" i="1"/>
  <c r="M23" i="1" s="1"/>
  <c r="BR40" i="2"/>
  <c r="BR30" i="2"/>
  <c r="BR31" i="2" s="1"/>
  <c r="BR32" i="2" s="1"/>
  <c r="BR41" i="2" s="1"/>
  <c r="BT22" i="2"/>
  <c r="BS25" i="2"/>
  <c r="BS26" i="2" s="1"/>
  <c r="AA88" i="2"/>
  <c r="AA89" i="2" s="1"/>
  <c r="AA83" i="2"/>
  <c r="AA85" i="2" s="1"/>
  <c r="Z88" i="2"/>
  <c r="Z89" i="2" s="1"/>
  <c r="Z83" i="2"/>
  <c r="Z85" i="2" s="1"/>
  <c r="BJ39" i="2"/>
  <c r="BL20" i="2"/>
  <c r="BL37" i="2"/>
  <c r="BK20" i="2"/>
  <c r="BK37" i="2"/>
  <c r="M20" i="1" l="1"/>
  <c r="BS40" i="2"/>
  <c r="BS30" i="2"/>
  <c r="BS31" i="2" s="1"/>
  <c r="BS32" i="2" s="1"/>
  <c r="BS41" i="2" s="1"/>
  <c r="BU22" i="2"/>
  <c r="BU25" i="2" s="1"/>
  <c r="BU26" i="2" s="1"/>
  <c r="BT25" i="2"/>
  <c r="BT26" i="2" s="1"/>
  <c r="BK39" i="2"/>
  <c r="BK26" i="2"/>
  <c r="BJ30" i="2"/>
  <c r="BJ40" i="2"/>
  <c r="BL26" i="2"/>
  <c r="BL39" i="2"/>
  <c r="BJ32" i="2" l="1"/>
  <c r="BJ38" i="2"/>
  <c r="BT40" i="2"/>
  <c r="BT30" i="2"/>
  <c r="BT31" i="2" s="1"/>
  <c r="BT32" i="2" s="1"/>
  <c r="BU40" i="2"/>
  <c r="BU30" i="2"/>
  <c r="BU31" i="2" s="1"/>
  <c r="BU32" i="2" s="1"/>
  <c r="BL30" i="2"/>
  <c r="BL40" i="2"/>
  <c r="BK30" i="2"/>
  <c r="BK40" i="2"/>
  <c r="BK32" i="2" l="1"/>
  <c r="BK94" i="2" s="1"/>
  <c r="BK38" i="2"/>
  <c r="BU41" i="2"/>
  <c r="BV32" i="2"/>
  <c r="BW32" i="2" s="1"/>
  <c r="BX32" i="2" s="1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Q32" i="2" s="1"/>
  <c r="ER32" i="2" s="1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FC32" i="2" s="1"/>
  <c r="FD32" i="2" s="1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FO32" i="2" s="1"/>
  <c r="FP32" i="2" s="1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BZ39" i="2" s="1"/>
  <c r="BZ40" i="2" s="1"/>
  <c r="BL32" i="2"/>
  <c r="BL94" i="2" s="1"/>
  <c r="BL38" i="2"/>
  <c r="BT41" i="2"/>
  <c r="BJ41" i="2"/>
  <c r="BJ33" i="2"/>
  <c r="BJ44" i="2"/>
  <c r="BJ62" i="2" s="1"/>
  <c r="Q62" i="2" s="1"/>
  <c r="Q88" i="2" s="1"/>
  <c r="BJ88" i="2" l="1"/>
  <c r="BJ83" i="2"/>
  <c r="BJ85" i="2" s="1"/>
  <c r="BL44" i="2"/>
  <c r="BL62" i="2" s="1"/>
  <c r="BM63" i="2" s="1"/>
  <c r="BL41" i="2"/>
  <c r="BL33" i="2"/>
  <c r="BK44" i="2"/>
  <c r="BK62" i="2" s="1"/>
  <c r="U62" i="2" s="1"/>
  <c r="U88" i="2" s="1"/>
  <c r="BK41" i="2"/>
  <c r="BK33" i="2"/>
  <c r="BL63" i="2" l="1"/>
  <c r="BK63" i="2"/>
  <c r="BK88" i="2"/>
  <c r="BK83" i="2"/>
  <c r="BK85" i="2" s="1"/>
  <c r="BL88" i="2"/>
  <c r="BM89" i="2" s="1"/>
  <c r="BL83" i="2"/>
  <c r="BL85" i="2" s="1"/>
  <c r="BL89" i="2" l="1"/>
  <c r="BK89" i="2"/>
  <c r="BM41" i="2" l="1"/>
  <c r="BM38" i="2"/>
  <c r="BM39" i="2"/>
  <c r="BM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Franciszek Kessler</author>
  </authors>
  <commentList>
    <comment ref="B15" authorId="0" shapeId="0" xr:uid="{15BA3F6A-A415-41CD-AE5D-9C19BACFC88A}">
      <text>
        <r>
          <rPr>
            <b/>
            <sz val="9"/>
            <color indexed="81"/>
            <rFont val="Tahoma"/>
            <family val="2"/>
            <charset val="238"/>
          </rPr>
          <t>Franciszek Kessler:</t>
        </r>
        <r>
          <rPr>
            <sz val="9"/>
            <color indexed="81"/>
            <rFont val="Tahoma"/>
            <family val="2"/>
            <charset val="238"/>
          </rPr>
          <t xml:space="preserve">
hemophilia A, factor VIII</t>
        </r>
      </text>
    </comment>
    <comment ref="BM55" authorId="0" shapeId="0" xr:uid="{FEA332EE-CB37-421B-9679-A5EB06AB5C54}">
      <text>
        <r>
          <rPr>
            <b/>
            <sz val="9"/>
            <color indexed="81"/>
            <rFont val="Tahoma"/>
            <family val="2"/>
            <charset val="238"/>
          </rPr>
          <t>Franciszek Kessler:</t>
        </r>
        <r>
          <rPr>
            <sz val="9"/>
            <color indexed="81"/>
            <rFont val="Tahoma"/>
            <family val="2"/>
            <charset val="238"/>
          </rPr>
          <t xml:space="preserve">
ROCTAVIAN inventory write off</t>
        </r>
      </text>
    </comment>
  </commentList>
</comments>
</file>

<file path=xl/sharedStrings.xml><?xml version="1.0" encoding="utf-8"?>
<sst xmlns="http://schemas.openxmlformats.org/spreadsheetml/2006/main" count="415" uniqueCount="219">
  <si>
    <t>Price</t>
  </si>
  <si>
    <t>Shares</t>
  </si>
  <si>
    <t>MC</t>
  </si>
  <si>
    <t>Cash</t>
  </si>
  <si>
    <t>Debt</t>
  </si>
  <si>
    <t>EV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</si>
  <si>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</si>
  <si>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</si>
  <si>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</si>
  <si>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</si>
  <si>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</si>
  <si>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</si>
  <si>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</si>
  <si>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</si>
  <si>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</si>
  <si>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main</t>
  </si>
  <si>
    <t>Q224</t>
  </si>
  <si>
    <t>Q324</t>
  </si>
  <si>
    <t>Q424</t>
  </si>
  <si>
    <t>Q125</t>
  </si>
  <si>
    <t>Q225</t>
  </si>
  <si>
    <t>BioMarin</t>
  </si>
  <si>
    <t>Musd</t>
  </si>
  <si>
    <t>VIMIZIM</t>
  </si>
  <si>
    <t>VOXZOGO</t>
  </si>
  <si>
    <t>NAGLAZYME</t>
  </si>
  <si>
    <t>PALYNZIQ</t>
  </si>
  <si>
    <t>ALDURAZYME</t>
  </si>
  <si>
    <t>BRINEURA</t>
  </si>
  <si>
    <t>KUVAN</t>
  </si>
  <si>
    <t>ROCTAVIAN</t>
  </si>
  <si>
    <t>Net Product Rev</t>
  </si>
  <si>
    <t>Q325</t>
  </si>
  <si>
    <t>Q425</t>
  </si>
  <si>
    <t>Q126</t>
  </si>
  <si>
    <t>-</t>
  </si>
  <si>
    <t>royalty &amp; other</t>
  </si>
  <si>
    <t>Revenue</t>
  </si>
  <si>
    <t>COGS</t>
  </si>
  <si>
    <t>Gross profit</t>
  </si>
  <si>
    <t>gm</t>
  </si>
  <si>
    <t>om</t>
  </si>
  <si>
    <t>pm</t>
  </si>
  <si>
    <t>tax</t>
  </si>
  <si>
    <t>revenue</t>
  </si>
  <si>
    <t>operating profit</t>
  </si>
  <si>
    <t>tot op exp</t>
  </si>
  <si>
    <t>R&amp;D</t>
  </si>
  <si>
    <t>SG&amp;A</t>
  </si>
  <si>
    <t>amortization</t>
  </si>
  <si>
    <t>sale of non fin ass</t>
  </si>
  <si>
    <t>EBIT</t>
  </si>
  <si>
    <t>net income</t>
  </si>
  <si>
    <t>int inc</t>
  </si>
  <si>
    <t>int exp</t>
  </si>
  <si>
    <t>other exp</t>
  </si>
  <si>
    <t>s/o</t>
  </si>
  <si>
    <t>eps</t>
  </si>
  <si>
    <t>f</t>
  </si>
  <si>
    <t>dr</t>
  </si>
  <si>
    <t>gr</t>
  </si>
  <si>
    <t>npv</t>
  </si>
  <si>
    <t>up</t>
  </si>
  <si>
    <t>D&amp;A</t>
  </si>
  <si>
    <t>non cash int exp</t>
  </si>
  <si>
    <t>amortization of premium on invest</t>
  </si>
  <si>
    <t>share omp</t>
  </si>
  <si>
    <t>sale non fin ass</t>
  </si>
  <si>
    <t>impair of ass</t>
  </si>
  <si>
    <t>deferred it</t>
  </si>
  <si>
    <t xml:space="preserve">unrealized fx </t>
  </si>
  <si>
    <t>non cash fair value</t>
  </si>
  <si>
    <t>other</t>
  </si>
  <si>
    <t>AR</t>
  </si>
  <si>
    <t>inventory</t>
  </si>
  <si>
    <t>other ca</t>
  </si>
  <si>
    <t>other ass</t>
  </si>
  <si>
    <t>ap</t>
  </si>
  <si>
    <t>other lt liab</t>
  </si>
  <si>
    <t>CFFO</t>
  </si>
  <si>
    <t>capex</t>
  </si>
  <si>
    <t>mat &amp; sale inv</t>
  </si>
  <si>
    <t>invest p</t>
  </si>
  <si>
    <t>purchase intangibles</t>
  </si>
  <si>
    <t>CFFI</t>
  </si>
  <si>
    <t>CFFA</t>
  </si>
  <si>
    <t>awards exercise</t>
  </si>
  <si>
    <t>taxes paid equity awards</t>
  </si>
  <si>
    <t>debt repay</t>
  </si>
  <si>
    <t>contingent consideration</t>
  </si>
  <si>
    <t>fx</t>
  </si>
  <si>
    <t>cash change</t>
  </si>
  <si>
    <t>cash beg</t>
  </si>
  <si>
    <t>cash end</t>
  </si>
  <si>
    <t>FCF</t>
  </si>
  <si>
    <t>LTM FCF</t>
  </si>
  <si>
    <t>NTM FCF</t>
  </si>
  <si>
    <t>PP&amp;E</t>
  </si>
  <si>
    <t>acquired R&amp;D</t>
  </si>
  <si>
    <t>acquisitions</t>
  </si>
  <si>
    <t>LTM CFFO</t>
  </si>
  <si>
    <t>ROE</t>
  </si>
  <si>
    <t>equity</t>
  </si>
  <si>
    <t>Brand</t>
  </si>
  <si>
    <t>Indication</t>
  </si>
  <si>
    <t>Economics</t>
  </si>
  <si>
    <t>Approved</t>
  </si>
  <si>
    <t>Brineura</t>
  </si>
  <si>
    <t>CLN2</t>
  </si>
  <si>
    <t>Administration</t>
  </si>
  <si>
    <t>IV</t>
  </si>
  <si>
    <t>CNS (central nervous system)</t>
  </si>
  <si>
    <t>MPS I</t>
  </si>
  <si>
    <t>ERT</t>
  </si>
  <si>
    <t>MPV IVA</t>
  </si>
  <si>
    <t>Roctavian</t>
  </si>
  <si>
    <t>Kuvan</t>
  </si>
  <si>
    <t>Palynziq</t>
  </si>
  <si>
    <t>Generic</t>
  </si>
  <si>
    <t>indication</t>
  </si>
  <si>
    <t>admin</t>
  </si>
  <si>
    <t>vector</t>
  </si>
  <si>
    <t>AAV5</t>
  </si>
  <si>
    <t>approval</t>
  </si>
  <si>
    <t>Hemophilia A</t>
  </si>
  <si>
    <t xml:space="preserve">introduces a factor VIII gene into liver cells so the body can </t>
  </si>
  <si>
    <t>produce its own clotting factor</t>
  </si>
  <si>
    <t>hemophilia A</t>
  </si>
  <si>
    <t>Q226</t>
  </si>
  <si>
    <t>Q326</t>
  </si>
  <si>
    <t>https://pmc.ncbi.nlm.nih.gov/articles/PMC10104757/</t>
  </si>
  <si>
    <t>Brineura (cerliponaza alfa)</t>
  </si>
  <si>
    <t>BLA</t>
  </si>
  <si>
    <t>cerliponaza alfa</t>
  </si>
  <si>
    <t>CLN2 (Neuronal Ceroid Lipofuscinosis Type 2) / Jansky - Bielschowsky disease</t>
  </si>
  <si>
    <t>rare, autosomal recessive, neurodegenerative LSD</t>
  </si>
  <si>
    <t>TPP1 gene mutation</t>
  </si>
  <si>
    <t xml:space="preserve">speech delay, seizures, loss of muscle coordination (ataxia) </t>
  </si>
  <si>
    <t xml:space="preserve">muscle twitches (myoclonus), loss of vision, developmental delay, inntelectual disability </t>
  </si>
  <si>
    <t>CNS (intraventicular)</t>
  </si>
  <si>
    <t>every other week</t>
  </si>
  <si>
    <t>patients</t>
  </si>
  <si>
    <t>cost pp</t>
  </si>
  <si>
    <t>14k world wide</t>
  </si>
  <si>
    <t>0.6-0.7 per M inhabitants</t>
  </si>
  <si>
    <t>$700k - $844k</t>
  </si>
  <si>
    <t>Voxzogo (vsoritide)</t>
  </si>
  <si>
    <t>vosoritide</t>
  </si>
  <si>
    <t>achondroplasia (the most common form of dwarfism)</t>
  </si>
  <si>
    <t>achondroplasia</t>
  </si>
  <si>
    <t>1 in 15k to 40k kids</t>
  </si>
  <si>
    <t>NDA</t>
  </si>
  <si>
    <t>$320k</t>
  </si>
  <si>
    <t>once-daily subcutaneous injection</t>
  </si>
  <si>
    <t>MoA</t>
  </si>
  <si>
    <t>CNP (C-type natriuretic peptide)</t>
  </si>
  <si>
    <t>binding to the natriuretic peptide receptor-B (NPR-B)</t>
  </si>
  <si>
    <t xml:space="preserve">binding stimulates intracellular cyclic guanosine monophosphate (cGMP) </t>
  </si>
  <si>
    <t>production which inhibits overactive fibroblast growth factor receptor 3</t>
  </si>
  <si>
    <t>FGFR3 signaling that restricts bone growth</t>
  </si>
  <si>
    <t>Q420</t>
  </si>
  <si>
    <t>Q320</t>
  </si>
  <si>
    <t>Q220</t>
  </si>
  <si>
    <t>Q120</t>
  </si>
  <si>
    <t>Q419</t>
  </si>
  <si>
    <t>Q121</t>
  </si>
  <si>
    <t>Q221</t>
  </si>
  <si>
    <t>Q321</t>
  </si>
  <si>
    <t>Q421</t>
  </si>
  <si>
    <t>founded 1997</t>
  </si>
  <si>
    <t>HQ San Rafael CA</t>
  </si>
  <si>
    <t>Vimizim</t>
  </si>
  <si>
    <t>VIMIZIM (elosulfase alfa)</t>
  </si>
  <si>
    <t>elosulfase alfa</t>
  </si>
  <si>
    <t>type</t>
  </si>
  <si>
    <t>MPS IVA</t>
  </si>
  <si>
    <t>provides exogenous form of enzyme N-acetylgalactosamine-6-sulfatase</t>
  </si>
  <si>
    <t>(GALNS)</t>
  </si>
  <si>
    <t>which breaks down accumulated glycosaminoglycans (GAGs) - specifically</t>
  </si>
  <si>
    <t>keratan sulfate (KS) and chondroitin-6-sulfate (C6S) within lysosomes</t>
  </si>
  <si>
    <t>reducing cellular storage and improving symptoms</t>
  </si>
  <si>
    <t>Aldurazyme</t>
  </si>
  <si>
    <t>Laronidase</t>
  </si>
  <si>
    <t>approved on a single pivotal trial of just 45 patients over 26 weeks</t>
  </si>
  <si>
    <t xml:space="preserve">MPS I (Hurler) </t>
  </si>
  <si>
    <t>ALDURAZYME (laronidase)</t>
  </si>
  <si>
    <t>MPS VI</t>
  </si>
  <si>
    <t>Phase</t>
  </si>
  <si>
    <t>Vosoritide</t>
  </si>
  <si>
    <t>gene therapy</t>
  </si>
  <si>
    <t>mod</t>
  </si>
  <si>
    <t>peptide</t>
  </si>
  <si>
    <t>II</t>
  </si>
  <si>
    <t>III</t>
  </si>
  <si>
    <t>hypochondroplasia</t>
  </si>
  <si>
    <t>idiopathic short stature</t>
  </si>
  <si>
    <t xml:space="preserve">II </t>
  </si>
  <si>
    <t>noonan syndrome</t>
  </si>
  <si>
    <t>turner syndrome</t>
  </si>
  <si>
    <t>SHOX deficiency</t>
  </si>
  <si>
    <t>BMN 333</t>
  </si>
  <si>
    <t>achondroplasia &amp; hypochondroplasia</t>
  </si>
  <si>
    <t xml:space="preserve">I </t>
  </si>
  <si>
    <t>BMN 401 (former INZ-701)</t>
  </si>
  <si>
    <t xml:space="preserve">BMN 401  </t>
  </si>
  <si>
    <t>biologic</t>
  </si>
  <si>
    <t>ENPP1 deficiency</t>
  </si>
  <si>
    <t>ABCC6 deficiency</t>
  </si>
  <si>
    <t>calciphylaxis</t>
  </si>
  <si>
    <t>BMN351</t>
  </si>
  <si>
    <t>DMD</t>
  </si>
  <si>
    <t>oligonucleotide</t>
  </si>
  <si>
    <t>??</t>
  </si>
  <si>
    <t>Naglazyme</t>
  </si>
  <si>
    <t>galsulfase</t>
  </si>
  <si>
    <t>does not cross the BBB!</t>
  </si>
  <si>
    <t>NAGLAZYME (Galsulfase)</t>
  </si>
  <si>
    <t>does not cross the BBB</t>
  </si>
  <si>
    <t xml:space="preserve">does not have to - no cognitive impairment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</si>
</sst>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u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0" borderId="0" xfId="1" applyFont="1"/>
    <xf numFmtId="0" fontId="5" fillId="0" borderId="0" xfId="0" applyFont="1"/>
    <xf numFmtId="3" fontId="5" fillId="0" borderId="0" xfId="0" applyNumberFormat="1" applyFont="1"/>
    <xf numFmtId="9" fontId="1" fillId="0" borderId="0" xfId="0" applyNumberFormat="1" applyFont="1"/>
    <xf numFmtId="4" fontId="1" fillId="0" borderId="0" xfId="0" applyNumberFormat="1" applyFont="1"/>
    <xf numFmtId="2" fontId="1" fillId="0" borderId="0" xfId="0" applyNumberFormat="1" applyFont="1"/>
    <xf numFmtId="9" fontId="6" fillId="0" borderId="0" xfId="0" applyNumberFormat="1" applyFont="1" applyAlignment="1">
      <alignment vertical="top"/>
    </xf>
    <xf numFmtId="0" fontId="9" fillId="0" borderId="1" xfId="0" applyFont="1" applyBorder="1"/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7" xfId="1" applyFont="1" applyBorder="1"/>
    <xf numFmtId="14" fontId="1" fillId="0" borderId="0" xfId="0" applyNumberFormat="1" applyFont="1"/>
    <xf numFmtId="0" fontId="1" fillId="0" borderId="0" xfId="0" applyFont="1" applyBorder="1"/>
    <xf numFmtId="0" fontId="1" fillId="0" borderId="0" xfId="0" applyFont="1" applyAlignment="1">
      <alignment horizontal="left" vertical="top"/>
    </xf>
    <xf numFmtId="0" fontId="4" fillId="0" borderId="9" xfId="1" applyFont="1" applyBorder="1"/>
    <xf numFmtId="14" fontId="1" fillId="0" borderId="10" xfId="0" applyNumberFormat="1" applyFont="1" applyBorder="1" applyAlignment="1">
      <alignment horizontal="center" vertical="center"/>
    </xf>
    <xf numFmtId="0" fontId="1" fillId="0" borderId="0" xfId="0" applyNumberFormat="1" applyFont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0" fontId="4" fillId="0" borderId="4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28491</xdr:colOff>
      <xdr:row>1</xdr:row>
      <xdr:rowOff>34124</xdr:rowOff>
    </xdr:from>
    <xdr:to>
      <xdr:col>29</xdr:col>
      <xdr:colOff>28491</xdr:colOff>
      <xdr:row>146</xdr:row>
      <xdr:rowOff>43014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B974397-2621-224F-51AE-B64322E22395}"/>
            </a:ext>
          </a:extLst>
        </xdr:cNvPr>
        <xdr:cNvCxnSpPr/>
      </xdr:nvCxnSpPr>
      <xdr:spPr>
        <a:xfrm>
          <a:off x="11538004" y="199776"/>
          <a:ext cx="0" cy="236971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8163</xdr:colOff>
      <xdr:row>1</xdr:row>
      <xdr:rowOff>8795</xdr:rowOff>
    </xdr:from>
    <xdr:to>
      <xdr:col>65</xdr:col>
      <xdr:colOff>8163</xdr:colOff>
      <xdr:row>146</xdr:row>
      <xdr:rowOff>17685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0EE9528-761F-4EF3-BEE3-E462C1297277}"/>
            </a:ext>
          </a:extLst>
        </xdr:cNvPr>
        <xdr:cNvCxnSpPr/>
      </xdr:nvCxnSpPr>
      <xdr:spPr>
        <a:xfrm>
          <a:off x="19442476" y="174447"/>
          <a:ext cx="0" cy="236971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F600-D258-4A06-817C-411221231C5A}">
  <dimension ref="B2:R23"/>
  <sheetViews>
    <sheetView zoomScale="115" zoomScaleNormal="115" workbookViewId="0">
      <selection activeCell="B7" sqref="B7"/>
    </sheetView>
  </sheetViews>
  <sheetFormatPr defaultColWidth="8.88671875" defaultRowHeight="13.2" x14ac:dyDescent="0.25"/>
  <cols>
    <col min="1" max="1" width="4.5546875" style="1" customWidth="1"/>
    <col min="2" max="2" width="23.77734375" style="1" bestFit="1" customWidth="1"/>
    <col min="3" max="3" width="20.6640625" style="12" customWidth="1"/>
    <col min="4" max="4" width="10.33203125" style="12" bestFit="1" customWidth="1"/>
    <col min="5" max="5" width="13.21875" style="12" bestFit="1" customWidth="1"/>
    <col min="6" max="6" width="11.6640625" style="12" customWidth="1"/>
    <col min="7" max="7" width="10.109375" style="12" bestFit="1" customWidth="1"/>
    <col min="8" max="8" width="25.6640625" style="12" bestFit="1" customWidth="1"/>
    <col min="9" max="16384" width="8.88671875" style="1"/>
  </cols>
  <sheetData>
    <row r="2" spans="2:18" x14ac:dyDescent="0.25">
      <c r="B2" s="10" t="s">
        <v>103</v>
      </c>
      <c r="C2" s="11" t="s">
        <v>104</v>
      </c>
      <c r="D2" s="11" t="s">
        <v>106</v>
      </c>
      <c r="E2" s="11" t="s">
        <v>190</v>
      </c>
      <c r="F2" s="11" t="s">
        <v>174</v>
      </c>
      <c r="G2" s="11" t="s">
        <v>105</v>
      </c>
      <c r="H2" s="13" t="s">
        <v>109</v>
      </c>
    </row>
    <row r="3" spans="2:18" x14ac:dyDescent="0.25">
      <c r="B3" s="36" t="s">
        <v>216</v>
      </c>
      <c r="C3" s="15" t="s">
        <v>186</v>
      </c>
      <c r="D3" s="16">
        <v>38503</v>
      </c>
      <c r="E3" s="15"/>
      <c r="F3" s="15" t="s">
        <v>113</v>
      </c>
      <c r="G3" s="15"/>
      <c r="H3" s="17" t="s">
        <v>110</v>
      </c>
      <c r="R3" s="1" t="s">
        <v>169</v>
      </c>
    </row>
    <row r="4" spans="2:18" x14ac:dyDescent="0.25">
      <c r="B4" s="23" t="s">
        <v>131</v>
      </c>
      <c r="C4" s="12" t="s">
        <v>108</v>
      </c>
      <c r="D4" s="24">
        <v>42852</v>
      </c>
      <c r="H4" s="19" t="s">
        <v>111</v>
      </c>
      <c r="M4" s="1" t="s">
        <v>21</v>
      </c>
      <c r="R4" s="1" t="s">
        <v>170</v>
      </c>
    </row>
    <row r="5" spans="2:18" x14ac:dyDescent="0.25">
      <c r="B5" s="18"/>
      <c r="H5" s="19"/>
    </row>
    <row r="6" spans="2:18" x14ac:dyDescent="0.25">
      <c r="B6" s="23" t="s">
        <v>185</v>
      </c>
      <c r="C6" s="12" t="s">
        <v>112</v>
      </c>
      <c r="D6" s="12">
        <v>2003</v>
      </c>
      <c r="F6" s="12" t="s">
        <v>113</v>
      </c>
      <c r="H6" s="19" t="s">
        <v>110</v>
      </c>
      <c r="M6" s="1" t="s">
        <v>20</v>
      </c>
      <c r="N6" s="1" t="s">
        <v>32</v>
      </c>
      <c r="O6" s="1" t="s">
        <v>33</v>
      </c>
    </row>
    <row r="7" spans="2:18" x14ac:dyDescent="0.25">
      <c r="B7" s="23" t="s">
        <v>172</v>
      </c>
      <c r="C7" s="12" t="s">
        <v>114</v>
      </c>
      <c r="D7" s="12">
        <v>2014</v>
      </c>
      <c r="F7" s="12" t="s">
        <v>113</v>
      </c>
      <c r="H7" s="19"/>
      <c r="L7" s="1" t="s">
        <v>0</v>
      </c>
      <c r="M7" s="1">
        <v>52.32</v>
      </c>
      <c r="N7" s="1">
        <v>54.59</v>
      </c>
      <c r="O7" s="1">
        <v>58</v>
      </c>
    </row>
    <row r="8" spans="2:18" x14ac:dyDescent="0.25">
      <c r="B8" s="23" t="s">
        <v>115</v>
      </c>
      <c r="C8" s="12" t="s">
        <v>127</v>
      </c>
      <c r="D8" s="12">
        <v>2023</v>
      </c>
      <c r="F8" s="12" t="s">
        <v>189</v>
      </c>
      <c r="H8" s="19" t="s">
        <v>110</v>
      </c>
      <c r="L8" s="1" t="s">
        <v>1</v>
      </c>
      <c r="M8" s="2">
        <v>192.014601</v>
      </c>
      <c r="N8" s="2">
        <v>192.11434399999999</v>
      </c>
      <c r="O8" s="2">
        <v>192.22499999999999</v>
      </c>
    </row>
    <row r="9" spans="2:18" x14ac:dyDescent="0.25">
      <c r="B9" s="18" t="s">
        <v>116</v>
      </c>
      <c r="H9" s="19"/>
      <c r="L9" s="1" t="s">
        <v>2</v>
      </c>
      <c r="M9" s="2">
        <f>+M8*M7</f>
        <v>10046.20392432</v>
      </c>
      <c r="N9" s="2">
        <f>+N8*N7</f>
        <v>10487.52203896</v>
      </c>
      <c r="O9" s="2">
        <f>+O8*O7</f>
        <v>11149.05</v>
      </c>
    </row>
    <row r="10" spans="2:18" x14ac:dyDescent="0.25">
      <c r="B10" s="18" t="s">
        <v>117</v>
      </c>
      <c r="H10" s="19"/>
      <c r="L10" s="1" t="s">
        <v>3</v>
      </c>
      <c r="M10" s="2">
        <f>1213.816+218.309+508.592</f>
        <v>1940.7170000000001</v>
      </c>
      <c r="N10" s="2">
        <f>1250.108+227.731+512.937</f>
        <v>1990.7759999999998</v>
      </c>
      <c r="O10" s="2">
        <f>1311.679+248.93+492.242</f>
        <v>2052.8510000000001</v>
      </c>
    </row>
    <row r="11" spans="2:18" x14ac:dyDescent="0.25">
      <c r="B11" s="27" t="s">
        <v>146</v>
      </c>
      <c r="C11" s="21" t="s">
        <v>149</v>
      </c>
      <c r="D11" s="28">
        <v>44519</v>
      </c>
      <c r="E11" s="21"/>
      <c r="F11" s="21"/>
      <c r="G11" s="21"/>
      <c r="H11" s="22" t="s">
        <v>110</v>
      </c>
      <c r="L11" s="1" t="s">
        <v>4</v>
      </c>
      <c r="M11" s="2">
        <v>596.16200000000003</v>
      </c>
      <c r="N11" s="2">
        <v>596.66300000000001</v>
      </c>
      <c r="O11" s="2">
        <v>597.17600000000004</v>
      </c>
    </row>
    <row r="12" spans="2:18" x14ac:dyDescent="0.25">
      <c r="B12" s="30"/>
      <c r="C12" s="31"/>
      <c r="D12" s="31" t="s">
        <v>187</v>
      </c>
      <c r="E12" s="31"/>
      <c r="F12" s="31"/>
      <c r="G12" s="31"/>
      <c r="H12" s="32"/>
      <c r="L12" s="1" t="s">
        <v>5</v>
      </c>
      <c r="M12" s="2">
        <f>+M11+M9-M10</f>
        <v>8701.6489243199994</v>
      </c>
      <c r="N12" s="2">
        <f>+N11+N9-N10</f>
        <v>9093.4090389600005</v>
      </c>
      <c r="O12" s="2">
        <f>+O11+O9-O10</f>
        <v>9693.3749999999982</v>
      </c>
    </row>
    <row r="13" spans="2:18" x14ac:dyDescent="0.25">
      <c r="B13" s="14" t="s">
        <v>188</v>
      </c>
      <c r="C13" s="15" t="s">
        <v>194</v>
      </c>
      <c r="D13" s="15" t="s">
        <v>193</v>
      </c>
      <c r="E13" s="15" t="s">
        <v>191</v>
      </c>
      <c r="F13" s="15"/>
      <c r="G13" s="15"/>
      <c r="H13" s="17"/>
    </row>
    <row r="14" spans="2:18" s="2" customFormat="1" x14ac:dyDescent="0.25">
      <c r="B14" s="18" t="s">
        <v>188</v>
      </c>
      <c r="C14" s="33" t="s">
        <v>195</v>
      </c>
      <c r="D14" s="33" t="s">
        <v>196</v>
      </c>
      <c r="E14" s="34" t="s">
        <v>191</v>
      </c>
      <c r="F14" s="34"/>
      <c r="G14" s="33"/>
      <c r="H14" s="35"/>
      <c r="L14" s="2" t="s">
        <v>97</v>
      </c>
      <c r="N14" s="2">
        <v>1038.1869999999999</v>
      </c>
      <c r="O14" s="2">
        <v>952.50800000000004</v>
      </c>
    </row>
    <row r="15" spans="2:18" x14ac:dyDescent="0.25">
      <c r="B15" s="18" t="s">
        <v>188</v>
      </c>
      <c r="C15" s="34" t="s">
        <v>197</v>
      </c>
      <c r="D15" s="34" t="s">
        <v>192</v>
      </c>
      <c r="E15" s="34" t="s">
        <v>191</v>
      </c>
      <c r="F15" s="34"/>
      <c r="G15" s="34"/>
      <c r="H15" s="19"/>
    </row>
    <row r="16" spans="2:18" x14ac:dyDescent="0.25">
      <c r="B16" s="18" t="s">
        <v>188</v>
      </c>
      <c r="C16" s="34" t="s">
        <v>198</v>
      </c>
      <c r="D16" s="34" t="s">
        <v>192</v>
      </c>
      <c r="E16" s="34" t="s">
        <v>191</v>
      </c>
      <c r="F16" s="34"/>
      <c r="G16" s="34"/>
      <c r="H16" s="19"/>
      <c r="L16" s="1" t="s">
        <v>100</v>
      </c>
      <c r="N16" s="1">
        <v>914</v>
      </c>
      <c r="O16" s="2">
        <v>828.23500000000001</v>
      </c>
    </row>
    <row r="17" spans="2:15" x14ac:dyDescent="0.25">
      <c r="B17" s="18" t="s">
        <v>188</v>
      </c>
      <c r="C17" s="34" t="s">
        <v>199</v>
      </c>
      <c r="D17" s="34" t="s">
        <v>192</v>
      </c>
      <c r="E17" s="34" t="s">
        <v>191</v>
      </c>
      <c r="F17" s="34"/>
      <c r="G17" s="34"/>
      <c r="H17" s="19"/>
      <c r="N17" s="8">
        <f>+N12/N16</f>
        <v>9.9490252067396074</v>
      </c>
      <c r="O17" s="8">
        <f>+O12/O16</f>
        <v>11.703652948740391</v>
      </c>
    </row>
    <row r="18" spans="2:15" x14ac:dyDescent="0.25">
      <c r="B18" s="18" t="s">
        <v>200</v>
      </c>
      <c r="C18" s="34" t="s">
        <v>201</v>
      </c>
      <c r="D18" s="34" t="s">
        <v>202</v>
      </c>
      <c r="E18" s="34" t="s">
        <v>191</v>
      </c>
      <c r="F18" s="34"/>
      <c r="G18" s="34"/>
      <c r="H18" s="19"/>
    </row>
    <row r="19" spans="2:15" x14ac:dyDescent="0.25">
      <c r="B19" s="18" t="s">
        <v>203</v>
      </c>
      <c r="C19" s="34" t="s">
        <v>206</v>
      </c>
      <c r="D19" s="34" t="s">
        <v>193</v>
      </c>
      <c r="E19" s="34" t="s">
        <v>205</v>
      </c>
      <c r="F19" s="34" t="s">
        <v>113</v>
      </c>
      <c r="G19" s="34"/>
      <c r="H19" s="19"/>
      <c r="L19" s="1" t="s">
        <v>95</v>
      </c>
      <c r="M19" s="1">
        <v>695</v>
      </c>
      <c r="N19" s="1">
        <v>832</v>
      </c>
      <c r="O19" s="2">
        <v>725.197</v>
      </c>
    </row>
    <row r="20" spans="2:15" x14ac:dyDescent="0.25">
      <c r="B20" s="18" t="s">
        <v>204</v>
      </c>
      <c r="C20" s="34" t="s">
        <v>207</v>
      </c>
      <c r="D20" s="34" t="s">
        <v>192</v>
      </c>
      <c r="E20" s="34" t="s">
        <v>205</v>
      </c>
      <c r="F20" s="34" t="s">
        <v>113</v>
      </c>
      <c r="G20" s="34"/>
      <c r="H20" s="19"/>
      <c r="M20" s="8">
        <f>+M12/M19</f>
        <v>12.520358164489208</v>
      </c>
      <c r="N20" s="8">
        <f>+N12/N19</f>
        <v>10.929578171826924</v>
      </c>
      <c r="O20" s="8">
        <f>+O12/O19</f>
        <v>13.366540402125214</v>
      </c>
    </row>
    <row r="21" spans="2:15" x14ac:dyDescent="0.25">
      <c r="B21" s="18" t="s">
        <v>204</v>
      </c>
      <c r="C21" s="34" t="s">
        <v>208</v>
      </c>
      <c r="D21" s="34" t="s">
        <v>202</v>
      </c>
      <c r="E21" s="34" t="s">
        <v>205</v>
      </c>
      <c r="F21" s="34" t="s">
        <v>113</v>
      </c>
      <c r="G21" s="34"/>
      <c r="H21" s="19"/>
    </row>
    <row r="22" spans="2:15" x14ac:dyDescent="0.25">
      <c r="B22" s="20" t="s">
        <v>209</v>
      </c>
      <c r="C22" s="21" t="s">
        <v>210</v>
      </c>
      <c r="D22" s="21" t="s">
        <v>192</v>
      </c>
      <c r="E22" s="21" t="s">
        <v>211</v>
      </c>
      <c r="F22" s="21" t="s">
        <v>212</v>
      </c>
      <c r="G22" s="21"/>
      <c r="H22" s="22"/>
      <c r="L22" s="1" t="s">
        <v>96</v>
      </c>
      <c r="M22" s="2">
        <f>2*326</f>
        <v>652</v>
      </c>
    </row>
    <row r="23" spans="2:15" x14ac:dyDescent="0.25">
      <c r="M23" s="8">
        <f>+M12/M22</f>
        <v>13.346087307239262</v>
      </c>
    </row>
  </sheetData>
  <hyperlinks>
    <hyperlink ref="B8" location="Roctavian!A1" display="Roctavian" xr:uid="{F94F7068-CF08-4E17-9EC8-7B021213FBA5}"/>
    <hyperlink ref="B4" location="Brineura!A1" display="Brineura (cerliponaza alfa)" xr:uid="{DE99E576-E556-44B1-81EF-49E7363DED46}"/>
    <hyperlink ref="B11" location="VOXZOGO!A1" display="Voxzogo (vsoritide)" xr:uid="{4E93ED21-72AA-4F9D-9091-0ACAD4814327}"/>
    <hyperlink ref="B7" location="VIMIZIM!A1" display="VIMIZIM (elosulfase alfa)" xr:uid="{DAD0406F-B11D-4097-A417-E824904626EF}"/>
    <hyperlink ref="B6" location="ALDURAZYME!A1" display="ALDURAZYME (laronidase)" xr:uid="{D1F987FE-9C02-40F6-8299-CE789DAF33F5}"/>
    <hyperlink ref="B3" location="NAGLAZYME!A1" display="NAGLAZYME (Galsulfase)" xr:uid="{DD1F86BB-F165-41B9-A1C2-7612BEEFF9BC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3057-3870-4DFD-8E06-88FDDED23778}">
  <dimension ref="A1:GJ114"/>
  <sheetViews>
    <sheetView zoomScale="115" zoomScaleNormal="115" workbookViewId="0">
      <pane xSplit="2" ySplit="2" topLeftCell="L3" activePane="bottomRight" state="frozen"/>
      <selection pane="topRight" activeCell="C1" sqref="C1"/>
      <selection pane="bottomLeft" activeCell="A3" sqref="A3"/>
      <selection pane="bottomRight"/>
    </sheetView>
  </sheetViews>
  <sheetFormatPr defaultColWidth="8.88671875" defaultRowHeight="13.2" x14ac:dyDescent="0.25"/>
  <cols>
    <col min="1" max="1" width="4.88671875" style="1" bestFit="1" customWidth="1"/>
    <col min="2" max="2" width="20.6640625" style="1" customWidth="1"/>
    <col min="3" max="16384" width="8.88671875" style="1"/>
  </cols>
  <sheetData>
    <row r="1" spans="1:192" x14ac:dyDescent="0.25">
      <c r="A1" s="3" t="s">
        <v>15</v>
      </c>
    </row>
    <row r="2" spans="1:192" x14ac:dyDescent="0.25">
      <c r="B2" s="1" t="s">
        <v>22</v>
      </c>
      <c r="E2" s="1" t="s">
        <v>164</v>
      </c>
      <c r="F2" s="1" t="s">
        <v>163</v>
      </c>
      <c r="G2" s="1" t="s">
        <v>162</v>
      </c>
      <c r="H2" s="1" t="s">
        <v>161</v>
      </c>
      <c r="I2" s="1" t="s">
        <v>160</v>
      </c>
      <c r="J2" s="1" t="s">
        <v>165</v>
      </c>
      <c r="K2" s="1" t="s">
        <v>166</v>
      </c>
      <c r="L2" s="1" t="s">
        <v>167</v>
      </c>
      <c r="M2" s="1" t="s">
        <v>168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32</v>
      </c>
      <c r="AC2" s="1" t="s">
        <v>33</v>
      </c>
      <c r="AD2" s="1" t="s">
        <v>34</v>
      </c>
      <c r="AE2" s="1" t="s">
        <v>128</v>
      </c>
      <c r="AF2" s="1" t="s">
        <v>129</v>
      </c>
      <c r="AI2" s="1">
        <v>1995</v>
      </c>
      <c r="AJ2" s="1">
        <f>+AI2+1</f>
        <v>1996</v>
      </c>
      <c r="AK2" s="1">
        <f t="shared" ref="AK2:AU2" si="0">+AJ2+1</f>
        <v>1997</v>
      </c>
      <c r="AL2" s="1">
        <f t="shared" si="0"/>
        <v>1998</v>
      </c>
      <c r="AM2" s="1">
        <f t="shared" si="0"/>
        <v>1999</v>
      </c>
      <c r="AN2" s="1">
        <f t="shared" si="0"/>
        <v>2000</v>
      </c>
      <c r="AO2" s="1">
        <f t="shared" si="0"/>
        <v>2001</v>
      </c>
      <c r="AP2" s="1">
        <f t="shared" si="0"/>
        <v>2002</v>
      </c>
      <c r="AQ2" s="1">
        <f t="shared" si="0"/>
        <v>2003</v>
      </c>
      <c r="AR2" s="1">
        <f t="shared" si="0"/>
        <v>2004</v>
      </c>
      <c r="AS2" s="1">
        <f t="shared" si="0"/>
        <v>2005</v>
      </c>
      <c r="AT2" s="1">
        <f t="shared" si="0"/>
        <v>2006</v>
      </c>
      <c r="AU2" s="1">
        <f t="shared" si="0"/>
        <v>2007</v>
      </c>
      <c r="AV2" s="1">
        <f t="shared" ref="AV2:AX2" si="1">+AU2+1</f>
        <v>2008</v>
      </c>
      <c r="AW2" s="1">
        <f t="shared" si="1"/>
        <v>2009</v>
      </c>
      <c r="AX2" s="1">
        <f t="shared" si="1"/>
        <v>2010</v>
      </c>
      <c r="AY2" s="1">
        <v>2011</v>
      </c>
      <c r="AZ2" s="1">
        <v>2012</v>
      </c>
      <c r="BA2" s="1">
        <v>2013</v>
      </c>
      <c r="BB2" s="1">
        <v>2014</v>
      </c>
      <c r="BC2" s="1">
        <v>2015</v>
      </c>
      <c r="BD2" s="1">
        <v>2016</v>
      </c>
      <c r="BE2" s="1">
        <v>2017</v>
      </c>
      <c r="BF2" s="1">
        <v>2018</v>
      </c>
      <c r="BG2" s="1">
        <f>BF2+1</f>
        <v>2019</v>
      </c>
      <c r="BH2" s="1">
        <f t="shared" ref="BH2:BP2" si="2">BG2+1</f>
        <v>2020</v>
      </c>
      <c r="BI2" s="1">
        <f t="shared" si="2"/>
        <v>2021</v>
      </c>
      <c r="BJ2" s="1">
        <f t="shared" si="2"/>
        <v>2022</v>
      </c>
      <c r="BK2" s="1">
        <f t="shared" si="2"/>
        <v>2023</v>
      </c>
      <c r="BL2" s="1">
        <f t="shared" si="2"/>
        <v>2024</v>
      </c>
      <c r="BM2" s="1">
        <f t="shared" si="2"/>
        <v>2025</v>
      </c>
      <c r="BN2" s="1">
        <f t="shared" si="2"/>
        <v>2026</v>
      </c>
      <c r="BO2" s="1">
        <f t="shared" si="2"/>
        <v>2027</v>
      </c>
      <c r="BP2" s="1">
        <f t="shared" si="2"/>
        <v>2028</v>
      </c>
      <c r="BQ2" s="1">
        <f t="shared" ref="BQ2" si="3">BP2+1</f>
        <v>2029</v>
      </c>
      <c r="BR2" s="1">
        <f t="shared" ref="BR2" si="4">BQ2+1</f>
        <v>2030</v>
      </c>
      <c r="BS2" s="1">
        <f t="shared" ref="BS2" si="5">BR2+1</f>
        <v>2031</v>
      </c>
      <c r="BT2" s="1">
        <f t="shared" ref="BT2" si="6">BS2+1</f>
        <v>2032</v>
      </c>
      <c r="BU2" s="1">
        <f t="shared" ref="BU2" si="7">BT2+1</f>
        <v>2033</v>
      </c>
      <c r="BV2" s="1">
        <f t="shared" ref="BV2" si="8">BU2+1</f>
        <v>2034</v>
      </c>
      <c r="BW2" s="1">
        <f t="shared" ref="BW2" si="9">BV2+1</f>
        <v>2035</v>
      </c>
      <c r="BX2" s="1">
        <f t="shared" ref="BX2" si="10">BW2+1</f>
        <v>2036</v>
      </c>
      <c r="BY2" s="1">
        <f t="shared" ref="BY2" si="11">BX2+1</f>
        <v>2037</v>
      </c>
      <c r="BZ2" s="1">
        <f t="shared" ref="BZ2" si="12">BY2+1</f>
        <v>2038</v>
      </c>
      <c r="CA2" s="1">
        <f t="shared" ref="CA2" si="13">BZ2+1</f>
        <v>2039</v>
      </c>
      <c r="CB2" s="1">
        <f t="shared" ref="CB2" si="14">CA2+1</f>
        <v>2040</v>
      </c>
      <c r="CC2" s="1">
        <f t="shared" ref="CC2" si="15">CB2+1</f>
        <v>2041</v>
      </c>
      <c r="CD2" s="1">
        <f t="shared" ref="CD2" si="16">CC2+1</f>
        <v>2042</v>
      </c>
      <c r="CE2" s="1">
        <f t="shared" ref="CE2" si="17">CD2+1</f>
        <v>2043</v>
      </c>
      <c r="CF2" s="1">
        <f t="shared" ref="CF2" si="18">CE2+1</f>
        <v>2044</v>
      </c>
      <c r="CG2" s="1">
        <f t="shared" ref="CG2" si="19">CF2+1</f>
        <v>2045</v>
      </c>
      <c r="CH2" s="1">
        <f t="shared" ref="CH2" si="20">CG2+1</f>
        <v>2046</v>
      </c>
      <c r="CI2" s="1">
        <f t="shared" ref="CI2" si="21">CH2+1</f>
        <v>2047</v>
      </c>
      <c r="CJ2" s="1">
        <f t="shared" ref="CJ2" si="22">CI2+1</f>
        <v>2048</v>
      </c>
      <c r="CK2" s="1">
        <f t="shared" ref="CK2" si="23">CJ2+1</f>
        <v>2049</v>
      </c>
      <c r="CL2" s="1">
        <f t="shared" ref="CL2" si="24">CK2+1</f>
        <v>2050</v>
      </c>
      <c r="CM2" s="1">
        <f t="shared" ref="CM2" si="25">CL2+1</f>
        <v>2051</v>
      </c>
      <c r="CN2" s="1">
        <f t="shared" ref="CN2" si="26">CM2+1</f>
        <v>2052</v>
      </c>
      <c r="CO2" s="1">
        <f t="shared" ref="CO2" si="27">CN2+1</f>
        <v>2053</v>
      </c>
      <c r="CP2" s="1">
        <f t="shared" ref="CP2" si="28">CO2+1</f>
        <v>2054</v>
      </c>
      <c r="CQ2" s="1">
        <f t="shared" ref="CQ2" si="29">CP2+1</f>
        <v>2055</v>
      </c>
      <c r="CR2" s="1">
        <f t="shared" ref="CR2" si="30">CQ2+1</f>
        <v>2056</v>
      </c>
      <c r="CS2" s="1">
        <f t="shared" ref="CS2" si="31">CR2+1</f>
        <v>2057</v>
      </c>
      <c r="CT2" s="1">
        <f t="shared" ref="CT2" si="32">CS2+1</f>
        <v>2058</v>
      </c>
      <c r="CU2" s="1">
        <f t="shared" ref="CU2" si="33">CT2+1</f>
        <v>2059</v>
      </c>
      <c r="CV2" s="1">
        <f t="shared" ref="CV2" si="34">CU2+1</f>
        <v>2060</v>
      </c>
      <c r="CW2" s="1">
        <f t="shared" ref="CW2" si="35">CV2+1</f>
        <v>2061</v>
      </c>
      <c r="CX2" s="1">
        <f t="shared" ref="CX2" si="36">CW2+1</f>
        <v>2062</v>
      </c>
      <c r="CY2" s="1">
        <f t="shared" ref="CY2" si="37">CX2+1</f>
        <v>2063</v>
      </c>
      <c r="CZ2" s="1">
        <f t="shared" ref="CZ2" si="38">CY2+1</f>
        <v>2064</v>
      </c>
      <c r="DA2" s="1">
        <f t="shared" ref="DA2" si="39">CZ2+1</f>
        <v>2065</v>
      </c>
      <c r="DB2" s="1">
        <f t="shared" ref="DB2" si="40">DA2+1</f>
        <v>2066</v>
      </c>
      <c r="DC2" s="1">
        <f t="shared" ref="DC2" si="41">DB2+1</f>
        <v>2067</v>
      </c>
      <c r="DD2" s="1">
        <f t="shared" ref="DD2" si="42">DC2+1</f>
        <v>2068</v>
      </c>
      <c r="DE2" s="1">
        <f t="shared" ref="DE2" si="43">DD2+1</f>
        <v>2069</v>
      </c>
      <c r="DF2" s="1">
        <f t="shared" ref="DF2" si="44">DE2+1</f>
        <v>2070</v>
      </c>
      <c r="DG2" s="1">
        <f t="shared" ref="DG2" si="45">DF2+1</f>
        <v>2071</v>
      </c>
      <c r="DH2" s="1">
        <f t="shared" ref="DH2" si="46">DG2+1</f>
        <v>2072</v>
      </c>
      <c r="DI2" s="1">
        <f t="shared" ref="DI2" si="47">DH2+1</f>
        <v>2073</v>
      </c>
      <c r="DJ2" s="1">
        <f t="shared" ref="DJ2" si="48">DI2+1</f>
        <v>2074</v>
      </c>
      <c r="DK2" s="1">
        <f t="shared" ref="DK2" si="49">DJ2+1</f>
        <v>2075</v>
      </c>
      <c r="DL2" s="1">
        <f t="shared" ref="DL2" si="50">DK2+1</f>
        <v>2076</v>
      </c>
      <c r="DM2" s="1">
        <f t="shared" ref="DM2" si="51">DL2+1</f>
        <v>2077</v>
      </c>
      <c r="DN2" s="1">
        <f t="shared" ref="DN2" si="52">DM2+1</f>
        <v>2078</v>
      </c>
      <c r="DO2" s="1">
        <f t="shared" ref="DO2" si="53">DN2+1</f>
        <v>2079</v>
      </c>
      <c r="DP2" s="1">
        <f t="shared" ref="DP2" si="54">DO2+1</f>
        <v>2080</v>
      </c>
      <c r="DQ2" s="1">
        <f t="shared" ref="DQ2" si="55">DP2+1</f>
        <v>2081</v>
      </c>
      <c r="DR2" s="1">
        <f t="shared" ref="DR2" si="56">DQ2+1</f>
        <v>2082</v>
      </c>
      <c r="DS2" s="1">
        <f t="shared" ref="DS2" si="57">DR2+1</f>
        <v>2083</v>
      </c>
      <c r="DT2" s="1">
        <f t="shared" ref="DT2" si="58">DS2+1</f>
        <v>2084</v>
      </c>
      <c r="DU2" s="1">
        <f t="shared" ref="DU2" si="59">DT2+1</f>
        <v>2085</v>
      </c>
      <c r="DV2" s="1">
        <f t="shared" ref="DV2" si="60">DU2+1</f>
        <v>2086</v>
      </c>
      <c r="DW2" s="1">
        <f t="shared" ref="DW2" si="61">DV2+1</f>
        <v>2087</v>
      </c>
      <c r="DX2" s="1">
        <f t="shared" ref="DX2" si="62">DW2+1</f>
        <v>2088</v>
      </c>
      <c r="DY2" s="1">
        <f t="shared" ref="DY2" si="63">DX2+1</f>
        <v>2089</v>
      </c>
      <c r="DZ2" s="1">
        <f t="shared" ref="DZ2" si="64">DY2+1</f>
        <v>2090</v>
      </c>
      <c r="EA2" s="1">
        <f t="shared" ref="EA2" si="65">DZ2+1</f>
        <v>2091</v>
      </c>
      <c r="EB2" s="1">
        <f t="shared" ref="EB2" si="66">EA2+1</f>
        <v>2092</v>
      </c>
      <c r="EC2" s="1">
        <f t="shared" ref="EC2" si="67">EB2+1</f>
        <v>2093</v>
      </c>
      <c r="ED2" s="1">
        <f t="shared" ref="ED2" si="68">EC2+1</f>
        <v>2094</v>
      </c>
      <c r="EE2" s="1">
        <f t="shared" ref="EE2" si="69">ED2+1</f>
        <v>2095</v>
      </c>
      <c r="EF2" s="1">
        <f t="shared" ref="EF2" si="70">EE2+1</f>
        <v>2096</v>
      </c>
      <c r="EG2" s="1">
        <f t="shared" ref="EG2" si="71">EF2+1</f>
        <v>2097</v>
      </c>
      <c r="EH2" s="1">
        <f t="shared" ref="EH2" si="72">EG2+1</f>
        <v>2098</v>
      </c>
      <c r="EI2" s="1">
        <f t="shared" ref="EI2" si="73">EH2+1</f>
        <v>2099</v>
      </c>
      <c r="EJ2" s="1">
        <f t="shared" ref="EJ2" si="74">EI2+1</f>
        <v>2100</v>
      </c>
      <c r="EK2" s="1">
        <f t="shared" ref="EK2" si="75">EJ2+1</f>
        <v>2101</v>
      </c>
      <c r="EL2" s="1">
        <f t="shared" ref="EL2" si="76">EK2+1</f>
        <v>2102</v>
      </c>
      <c r="EM2" s="1">
        <f t="shared" ref="EM2" si="77">EL2+1</f>
        <v>2103</v>
      </c>
      <c r="EN2" s="1">
        <f t="shared" ref="EN2" si="78">EM2+1</f>
        <v>2104</v>
      </c>
      <c r="EO2" s="1">
        <f t="shared" ref="EO2" si="79">EN2+1</f>
        <v>2105</v>
      </c>
      <c r="EP2" s="1">
        <f t="shared" ref="EP2" si="80">EO2+1</f>
        <v>2106</v>
      </c>
      <c r="EQ2" s="1">
        <f t="shared" ref="EQ2" si="81">EP2+1</f>
        <v>2107</v>
      </c>
      <c r="ER2" s="1">
        <f t="shared" ref="ER2" si="82">EQ2+1</f>
        <v>2108</v>
      </c>
      <c r="ES2" s="1">
        <f t="shared" ref="ES2" si="83">ER2+1</f>
        <v>2109</v>
      </c>
      <c r="ET2" s="1">
        <f t="shared" ref="ET2" si="84">ES2+1</f>
        <v>2110</v>
      </c>
      <c r="EU2" s="1">
        <f t="shared" ref="EU2" si="85">ET2+1</f>
        <v>2111</v>
      </c>
      <c r="EV2" s="1">
        <f t="shared" ref="EV2" si="86">EU2+1</f>
        <v>2112</v>
      </c>
      <c r="EW2" s="1">
        <f t="shared" ref="EW2" si="87">EV2+1</f>
        <v>2113</v>
      </c>
      <c r="EX2" s="1">
        <f t="shared" ref="EX2" si="88">EW2+1</f>
        <v>2114</v>
      </c>
      <c r="EY2" s="1">
        <f t="shared" ref="EY2" si="89">EX2+1</f>
        <v>2115</v>
      </c>
      <c r="EZ2" s="1">
        <f t="shared" ref="EZ2" si="90">EY2+1</f>
        <v>2116</v>
      </c>
      <c r="FA2" s="1">
        <f t="shared" ref="FA2" si="91">EZ2+1</f>
        <v>2117</v>
      </c>
      <c r="FB2" s="1">
        <f t="shared" ref="FB2" si="92">FA2+1</f>
        <v>2118</v>
      </c>
      <c r="FC2" s="1">
        <f t="shared" ref="FC2" si="93">FB2+1</f>
        <v>2119</v>
      </c>
      <c r="FD2" s="1">
        <f t="shared" ref="FD2" si="94">FC2+1</f>
        <v>2120</v>
      </c>
      <c r="FE2" s="1">
        <f t="shared" ref="FE2" si="95">FD2+1</f>
        <v>2121</v>
      </c>
      <c r="FF2" s="1">
        <f t="shared" ref="FF2" si="96">FE2+1</f>
        <v>2122</v>
      </c>
      <c r="FG2" s="1">
        <f t="shared" ref="FG2" si="97">FF2+1</f>
        <v>2123</v>
      </c>
      <c r="FH2" s="1">
        <f t="shared" ref="FH2" si="98">FG2+1</f>
        <v>2124</v>
      </c>
      <c r="FI2" s="1">
        <f t="shared" ref="FI2" si="99">FH2+1</f>
        <v>2125</v>
      </c>
      <c r="FJ2" s="1">
        <f t="shared" ref="FJ2" si="100">FI2+1</f>
        <v>2126</v>
      </c>
      <c r="FK2" s="1">
        <f t="shared" ref="FK2" si="101">FJ2+1</f>
        <v>2127</v>
      </c>
      <c r="FL2" s="1">
        <f t="shared" ref="FL2" si="102">FK2+1</f>
        <v>2128</v>
      </c>
      <c r="FM2" s="1">
        <f t="shared" ref="FM2" si="103">FL2+1</f>
        <v>2129</v>
      </c>
      <c r="FN2" s="1">
        <f t="shared" ref="FN2" si="104">FM2+1</f>
        <v>2130</v>
      </c>
      <c r="FO2" s="1">
        <f t="shared" ref="FO2" si="105">FN2+1</f>
        <v>2131</v>
      </c>
      <c r="FP2" s="1">
        <f t="shared" ref="FP2" si="106">FO2+1</f>
        <v>2132</v>
      </c>
      <c r="FQ2" s="1">
        <f t="shared" ref="FQ2" si="107">FP2+1</f>
        <v>2133</v>
      </c>
      <c r="FR2" s="1">
        <f t="shared" ref="FR2" si="108">FQ2+1</f>
        <v>2134</v>
      </c>
      <c r="FS2" s="1">
        <f t="shared" ref="FS2" si="109">FR2+1</f>
        <v>2135</v>
      </c>
      <c r="FT2" s="1">
        <f t="shared" ref="FT2" si="110">FS2+1</f>
        <v>2136</v>
      </c>
      <c r="FU2" s="1">
        <f t="shared" ref="FU2" si="111">FT2+1</f>
        <v>2137</v>
      </c>
      <c r="FV2" s="1">
        <f t="shared" ref="FV2" si="112">FU2+1</f>
        <v>2138</v>
      </c>
      <c r="FW2" s="1">
        <f t="shared" ref="FW2" si="113">FV2+1</f>
        <v>2139</v>
      </c>
      <c r="FX2" s="1">
        <f t="shared" ref="FX2" si="114">FW2+1</f>
        <v>2140</v>
      </c>
      <c r="FY2" s="1">
        <f t="shared" ref="FY2" si="115">FX2+1</f>
        <v>2141</v>
      </c>
      <c r="FZ2" s="1">
        <f t="shared" ref="FZ2" si="116">FY2+1</f>
        <v>2142</v>
      </c>
      <c r="GA2" s="1">
        <f t="shared" ref="GA2" si="117">FZ2+1</f>
        <v>2143</v>
      </c>
      <c r="GB2" s="1">
        <f t="shared" ref="GB2" si="118">GA2+1</f>
        <v>2144</v>
      </c>
      <c r="GC2" s="1">
        <f t="shared" ref="GC2" si="119">GB2+1</f>
        <v>2145</v>
      </c>
      <c r="GD2" s="1">
        <f t="shared" ref="GD2" si="120">GC2+1</f>
        <v>2146</v>
      </c>
      <c r="GE2" s="1">
        <f t="shared" ref="GE2" si="121">GD2+1</f>
        <v>2147</v>
      </c>
      <c r="GF2" s="1">
        <f t="shared" ref="GF2" si="122">GE2+1</f>
        <v>2148</v>
      </c>
      <c r="GG2" s="1">
        <f t="shared" ref="GG2" si="123">GF2+1</f>
        <v>2149</v>
      </c>
      <c r="GH2" s="1">
        <f t="shared" ref="GH2" si="124">GG2+1</f>
        <v>2150</v>
      </c>
      <c r="GI2" s="1">
        <f t="shared" ref="GI2" si="125">GH2+1</f>
        <v>2151</v>
      </c>
      <c r="GJ2" s="1" t="s">
        <v>58</v>
      </c>
    </row>
    <row r="3" spans="1:192" x14ac:dyDescent="0.2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GJ3" s="1" t="s">
        <v>58</v>
      </c>
    </row>
    <row r="4" spans="1:192" x14ac:dyDescent="0.2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GJ4" s="1" t="s">
        <v>58</v>
      </c>
    </row>
    <row r="5" spans="1:192" x14ac:dyDescent="0.2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1:192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</row>
    <row r="7" spans="1:192" x14ac:dyDescent="0.25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GJ7" s="1" t="s">
        <v>58</v>
      </c>
    </row>
    <row r="8" spans="1:192" x14ac:dyDescent="0.25">
      <c r="B8" s="1" t="s">
        <v>23</v>
      </c>
      <c r="C8" s="2"/>
      <c r="D8" s="2"/>
      <c r="E8" s="2"/>
      <c r="F8" s="2"/>
      <c r="G8" s="2"/>
      <c r="H8" s="2"/>
      <c r="I8" s="2"/>
      <c r="J8" s="2"/>
      <c r="K8" s="2"/>
      <c r="L8" s="2"/>
      <c r="M8" s="2">
        <v>136.744</v>
      </c>
      <c r="N8" s="2">
        <v>183.059</v>
      </c>
      <c r="O8" s="2">
        <v>173.20599999999999</v>
      </c>
      <c r="P8" s="2">
        <v>155.47</v>
      </c>
      <c r="Q8" s="2">
        <f>+SUM(BJ8)-SUM(N8:P8)</f>
        <v>152.06499999999994</v>
      </c>
      <c r="R8" s="2">
        <v>189.19200000000001</v>
      </c>
      <c r="S8" s="2">
        <v>177.392</v>
      </c>
      <c r="T8" s="2">
        <v>158.869</v>
      </c>
      <c r="U8" s="2">
        <f>+SUM(BK8)-SUM(R8:T8)</f>
        <v>175.54700000000003</v>
      </c>
      <c r="V8" s="2">
        <v>152.88900000000001</v>
      </c>
      <c r="W8" s="2">
        <v>183.923</v>
      </c>
      <c r="X8" s="2">
        <v>189.785</v>
      </c>
      <c r="Y8" s="2">
        <v>191</v>
      </c>
      <c r="Z8" s="2">
        <v>213.75399999999999</v>
      </c>
      <c r="AA8" s="2">
        <v>221.39099999999999</v>
      </c>
      <c r="AB8" s="2">
        <f>+SUM(BM8)-SUM(Z8:AA8,AC8)</f>
        <v>150.85500000000002</v>
      </c>
      <c r="AC8" s="2">
        <v>206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 t="s">
        <v>35</v>
      </c>
      <c r="BA8" s="2">
        <v>0.1</v>
      </c>
      <c r="BB8" s="2">
        <v>77.3</v>
      </c>
      <c r="BC8" s="2">
        <v>228.1</v>
      </c>
      <c r="BD8" s="2">
        <v>354.1</v>
      </c>
      <c r="BE8" s="2">
        <v>413.3</v>
      </c>
      <c r="BF8" s="2">
        <v>482</v>
      </c>
      <c r="BG8" s="2">
        <v>544.29999999999995</v>
      </c>
      <c r="BH8" s="2">
        <v>544.4</v>
      </c>
      <c r="BI8" s="2">
        <v>623.1</v>
      </c>
      <c r="BJ8" s="2">
        <v>663.8</v>
      </c>
      <c r="BK8" s="2">
        <v>701</v>
      </c>
      <c r="BL8" s="2">
        <v>739.8</v>
      </c>
      <c r="BM8" s="2">
        <v>792</v>
      </c>
      <c r="BN8" s="2">
        <f t="shared" ref="BN8:BU8" si="126">+BM8*1.04</f>
        <v>823.68000000000006</v>
      </c>
      <c r="BO8" s="2">
        <f t="shared" si="126"/>
        <v>856.62720000000013</v>
      </c>
      <c r="BP8" s="2">
        <f t="shared" si="126"/>
        <v>890.89228800000012</v>
      </c>
      <c r="BQ8" s="2">
        <f t="shared" si="126"/>
        <v>926.52797952000014</v>
      </c>
      <c r="BR8" s="2">
        <f t="shared" si="126"/>
        <v>963.58909870080015</v>
      </c>
      <c r="BS8" s="2">
        <f t="shared" si="126"/>
        <v>1002.1326626488321</v>
      </c>
      <c r="BT8" s="2">
        <f t="shared" si="126"/>
        <v>1042.2179691547854</v>
      </c>
      <c r="BU8" s="2">
        <f t="shared" si="126"/>
        <v>1083.9066879209768</v>
      </c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GJ8" s="1" t="s">
        <v>58</v>
      </c>
    </row>
    <row r="9" spans="1:192" x14ac:dyDescent="0.25">
      <c r="B9" s="1" t="s">
        <v>24</v>
      </c>
      <c r="C9" s="2"/>
      <c r="D9" s="2"/>
      <c r="E9" s="2"/>
      <c r="F9" s="2"/>
      <c r="G9" s="2"/>
      <c r="H9" s="2"/>
      <c r="I9" s="2"/>
      <c r="J9" s="2"/>
      <c r="K9" s="2"/>
      <c r="L9" s="2" t="s">
        <v>35</v>
      </c>
      <c r="M9" s="2">
        <v>0.14399999999999999</v>
      </c>
      <c r="N9" s="2">
        <v>19.658000000000001</v>
      </c>
      <c r="O9" s="2">
        <v>34.374000000000002</v>
      </c>
      <c r="P9" s="2">
        <v>48.289000000000001</v>
      </c>
      <c r="Q9" s="2">
        <f t="shared" ref="Q9:Q24" si="127">+SUM(BJ9)-SUM(N9:P9)</f>
        <v>66.778999999999996</v>
      </c>
      <c r="R9" s="2">
        <v>87.835999999999999</v>
      </c>
      <c r="S9" s="2">
        <v>113.337</v>
      </c>
      <c r="T9" s="2">
        <v>122.973</v>
      </c>
      <c r="U9" s="2">
        <f t="shared" ref="U9:U24" si="128">+SUM(BK9)-SUM(R9:T9)</f>
        <v>145.75399999999996</v>
      </c>
      <c r="V9" s="2">
        <v>192.52</v>
      </c>
      <c r="W9" s="2">
        <v>178.01599999999999</v>
      </c>
      <c r="X9" s="2">
        <v>178.15799999999999</v>
      </c>
      <c r="Y9" s="2">
        <v>208</v>
      </c>
      <c r="Z9" s="2">
        <v>188.346</v>
      </c>
      <c r="AA9" s="2">
        <v>215.42400000000001</v>
      </c>
      <c r="AB9" s="2">
        <f t="shared" ref="AB9:AB15" si="129">+SUM(BM9)-SUM(Z9:AA9,AC9)</f>
        <v>250.23000000000002</v>
      </c>
      <c r="AC9" s="2">
        <v>273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 t="s">
        <v>35</v>
      </c>
      <c r="BH9" s="2" t="s">
        <v>35</v>
      </c>
      <c r="BI9" s="2">
        <v>5.9</v>
      </c>
      <c r="BJ9" s="2">
        <v>169.1</v>
      </c>
      <c r="BK9" s="2">
        <v>469.9</v>
      </c>
      <c r="BL9" s="2">
        <v>735.1</v>
      </c>
      <c r="BM9" s="2">
        <v>927</v>
      </c>
      <c r="BN9" s="2">
        <f t="shared" ref="BN9:BU15" si="130">+BM9*1.04</f>
        <v>964.08</v>
      </c>
      <c r="BO9" s="2">
        <f t="shared" si="130"/>
        <v>1002.6432000000001</v>
      </c>
      <c r="BP9" s="2">
        <f t="shared" si="130"/>
        <v>1042.7489280000002</v>
      </c>
      <c r="BQ9" s="2">
        <f t="shared" si="130"/>
        <v>1084.4588851200003</v>
      </c>
      <c r="BR9" s="2">
        <f t="shared" si="130"/>
        <v>1127.8372405248003</v>
      </c>
      <c r="BS9" s="2">
        <f t="shared" si="130"/>
        <v>1172.9507301457925</v>
      </c>
      <c r="BT9" s="2">
        <f t="shared" si="130"/>
        <v>1219.8687593516242</v>
      </c>
      <c r="BU9" s="2">
        <f t="shared" si="130"/>
        <v>1268.6635097256892</v>
      </c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GJ9" s="1" t="s">
        <v>58</v>
      </c>
    </row>
    <row r="10" spans="1:192" x14ac:dyDescent="0.25">
      <c r="B10" s="1" t="s">
        <v>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v>71.171999999999997</v>
      </c>
      <c r="N10" s="2">
        <v>128.03100000000001</v>
      </c>
      <c r="O10" s="2">
        <v>115.783</v>
      </c>
      <c r="P10" s="2">
        <v>99.506</v>
      </c>
      <c r="Q10" s="2">
        <f t="shared" si="127"/>
        <v>100.47999999999996</v>
      </c>
      <c r="R10" s="2">
        <v>123.021</v>
      </c>
      <c r="S10" s="2">
        <v>90.102999999999994</v>
      </c>
      <c r="T10" s="2">
        <v>108.916</v>
      </c>
      <c r="U10" s="2">
        <f t="shared" si="128"/>
        <v>98.260000000000048</v>
      </c>
      <c r="V10" s="2">
        <v>105.629</v>
      </c>
      <c r="W10" s="2">
        <v>132.04900000000001</v>
      </c>
      <c r="X10" s="2">
        <v>131.90600000000001</v>
      </c>
      <c r="Y10" s="2">
        <f t="shared" ref="Y10:Y24" si="131">+SUM(BL10)-SUM(V10:X10)</f>
        <v>110.01600000000002</v>
      </c>
      <c r="Z10" s="2">
        <v>114.29</v>
      </c>
      <c r="AA10" s="2">
        <v>128.86699999999999</v>
      </c>
      <c r="AB10" s="2">
        <f t="shared" si="129"/>
        <v>121.84300000000002</v>
      </c>
      <c r="AC10" s="2">
        <v>120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>
        <v>12.1</v>
      </c>
      <c r="AT10" s="2">
        <v>46.5</v>
      </c>
      <c r="AU10" s="2">
        <v>86.2</v>
      </c>
      <c r="AV10" s="2">
        <v>132.69999999999999</v>
      </c>
      <c r="AW10" s="2">
        <v>168.7</v>
      </c>
      <c r="AX10" s="2">
        <v>192.7</v>
      </c>
      <c r="AY10" s="2">
        <v>224.9</v>
      </c>
      <c r="AZ10" s="2">
        <v>257</v>
      </c>
      <c r="BA10" s="2">
        <v>271.2</v>
      </c>
      <c r="BB10" s="2">
        <v>334.4</v>
      </c>
      <c r="BC10" s="2">
        <v>303.10000000000002</v>
      </c>
      <c r="BD10" s="2">
        <v>296.5</v>
      </c>
      <c r="BE10" s="2">
        <v>332.2</v>
      </c>
      <c r="BF10" s="2">
        <v>345.9</v>
      </c>
      <c r="BG10" s="2">
        <v>374.3</v>
      </c>
      <c r="BH10" s="2">
        <v>391.3</v>
      </c>
      <c r="BI10" s="2">
        <v>380.4</v>
      </c>
      <c r="BJ10" s="2">
        <v>443.8</v>
      </c>
      <c r="BK10" s="2">
        <v>420.3</v>
      </c>
      <c r="BL10" s="2">
        <v>479.6</v>
      </c>
      <c r="BM10" s="2">
        <v>485</v>
      </c>
      <c r="BN10" s="2">
        <f t="shared" si="130"/>
        <v>504.40000000000003</v>
      </c>
      <c r="BO10" s="2">
        <f t="shared" si="130"/>
        <v>524.57600000000002</v>
      </c>
      <c r="BP10" s="2">
        <f t="shared" si="130"/>
        <v>545.5590400000001</v>
      </c>
      <c r="BQ10" s="2">
        <f t="shared" si="130"/>
        <v>567.38140160000012</v>
      </c>
      <c r="BR10" s="2">
        <f t="shared" si="130"/>
        <v>590.07665766400009</v>
      </c>
      <c r="BS10" s="2">
        <f t="shared" si="130"/>
        <v>613.67972397056008</v>
      </c>
      <c r="BT10" s="2">
        <f t="shared" si="130"/>
        <v>638.22691292938248</v>
      </c>
      <c r="BU10" s="2">
        <f t="shared" si="130"/>
        <v>663.75598944655781</v>
      </c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GJ10" s="1" t="s">
        <v>58</v>
      </c>
    </row>
    <row r="11" spans="1:192" x14ac:dyDescent="0.25">
      <c r="B11" s="1" t="s">
        <v>26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60.728999999999999</v>
      </c>
      <c r="N11" s="2">
        <v>54.884999999999998</v>
      </c>
      <c r="O11" s="2">
        <v>61.643000000000001</v>
      </c>
      <c r="P11" s="2">
        <v>66.206000000000003</v>
      </c>
      <c r="Q11" s="2">
        <f t="shared" si="127"/>
        <v>72.26600000000002</v>
      </c>
      <c r="R11" s="2">
        <v>62.35</v>
      </c>
      <c r="S11" s="2">
        <v>74.867999999999995</v>
      </c>
      <c r="T11" s="2">
        <v>78.885000000000005</v>
      </c>
      <c r="U11" s="2">
        <f t="shared" si="128"/>
        <v>87.796999999999969</v>
      </c>
      <c r="V11" s="2">
        <v>75.709000000000003</v>
      </c>
      <c r="W11" s="2">
        <v>88.290999999999997</v>
      </c>
      <c r="X11" s="2">
        <v>90.634</v>
      </c>
      <c r="Y11" s="2">
        <f t="shared" si="131"/>
        <v>100.36599999999999</v>
      </c>
      <c r="Z11" s="2">
        <v>93.269000000000005</v>
      </c>
      <c r="AA11" s="2">
        <v>105.938</v>
      </c>
      <c r="AB11" s="2">
        <f t="shared" si="129"/>
        <v>108.79300000000001</v>
      </c>
      <c r="AC11" s="2">
        <v>125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 t="s">
        <v>35</v>
      </c>
      <c r="BE11" s="2" t="s">
        <v>35</v>
      </c>
      <c r="BF11" s="2">
        <v>12.2</v>
      </c>
      <c r="BG11" s="2">
        <v>86.9</v>
      </c>
      <c r="BH11" s="2">
        <v>171</v>
      </c>
      <c r="BI11" s="2">
        <v>237.5</v>
      </c>
      <c r="BJ11" s="2">
        <v>255</v>
      </c>
      <c r="BK11" s="2">
        <v>303.89999999999998</v>
      </c>
      <c r="BL11" s="2">
        <v>355</v>
      </c>
      <c r="BM11" s="2">
        <v>433</v>
      </c>
      <c r="BN11" s="2">
        <f t="shared" si="130"/>
        <v>450.32</v>
      </c>
      <c r="BO11" s="2">
        <f t="shared" si="130"/>
        <v>468.33280000000002</v>
      </c>
      <c r="BP11" s="2">
        <f t="shared" si="130"/>
        <v>487.06611200000003</v>
      </c>
      <c r="BQ11" s="2">
        <f t="shared" si="130"/>
        <v>506.54875648000007</v>
      </c>
      <c r="BR11" s="2">
        <f t="shared" si="130"/>
        <v>526.8107067392001</v>
      </c>
      <c r="BS11" s="2">
        <f t="shared" si="130"/>
        <v>547.88313500876814</v>
      </c>
      <c r="BT11" s="2">
        <f t="shared" si="130"/>
        <v>569.79846040911889</v>
      </c>
      <c r="BU11" s="2">
        <f t="shared" si="130"/>
        <v>592.5903988254837</v>
      </c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GJ11" s="1" t="s">
        <v>58</v>
      </c>
    </row>
    <row r="12" spans="1:192" x14ac:dyDescent="0.25">
      <c r="B12" s="1" t="s">
        <v>27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v>24.382000000000001</v>
      </c>
      <c r="O12" s="2">
        <v>37.326999999999998</v>
      </c>
      <c r="P12" s="2">
        <v>29.045999999999999</v>
      </c>
      <c r="Q12" s="2">
        <f t="shared" si="127"/>
        <v>37.64500000000001</v>
      </c>
      <c r="R12" s="2">
        <v>34.402999999999999</v>
      </c>
      <c r="S12" s="2">
        <v>40.317999999999998</v>
      </c>
      <c r="T12" s="2">
        <v>13.811999999999999</v>
      </c>
      <c r="U12" s="2">
        <f t="shared" si="128"/>
        <v>42.666999999999987</v>
      </c>
      <c r="V12" s="2">
        <v>35.262</v>
      </c>
      <c r="W12" s="2">
        <v>38.558</v>
      </c>
      <c r="X12" s="2">
        <v>71.028999999999996</v>
      </c>
      <c r="Y12" s="2">
        <f t="shared" si="131"/>
        <v>39.051000000000016</v>
      </c>
      <c r="Z12" s="2">
        <v>48.976999999999997</v>
      </c>
      <c r="AA12" s="2">
        <v>56.436999999999998</v>
      </c>
      <c r="AB12" s="2">
        <f t="shared" si="129"/>
        <v>54.586000000000013</v>
      </c>
      <c r="AC12" s="2">
        <v>49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 t="s">
        <v>35</v>
      </c>
      <c r="AQ12" s="2">
        <v>11.5</v>
      </c>
      <c r="AR12" s="2">
        <v>42.6</v>
      </c>
      <c r="AS12" s="2">
        <v>76.400000000000006</v>
      </c>
      <c r="AT12" s="2">
        <v>96.3</v>
      </c>
      <c r="AU12" s="2">
        <v>123.7</v>
      </c>
      <c r="AV12" s="2">
        <v>72.5</v>
      </c>
      <c r="AW12" s="2">
        <v>70.2</v>
      </c>
      <c r="AX12" s="2">
        <v>71.2</v>
      </c>
      <c r="AY12" s="2">
        <v>82.8</v>
      </c>
      <c r="AZ12" s="2">
        <v>82.2</v>
      </c>
      <c r="BA12" s="2">
        <v>83.6</v>
      </c>
      <c r="BB12" s="2">
        <v>105.6</v>
      </c>
      <c r="BC12" s="2">
        <v>98</v>
      </c>
      <c r="BD12" s="2">
        <v>93.8</v>
      </c>
      <c r="BE12" s="2">
        <v>90</v>
      </c>
      <c r="BF12" s="2">
        <v>135.1</v>
      </c>
      <c r="BG12" s="2">
        <v>97.8</v>
      </c>
      <c r="BH12" s="2">
        <v>130.1</v>
      </c>
      <c r="BI12" s="2">
        <v>122.8</v>
      </c>
      <c r="BJ12" s="2">
        <v>128.4</v>
      </c>
      <c r="BK12" s="2">
        <v>131.19999999999999</v>
      </c>
      <c r="BL12" s="2">
        <v>183.9</v>
      </c>
      <c r="BM12" s="2">
        <v>209</v>
      </c>
      <c r="BN12" s="2">
        <f t="shared" si="130"/>
        <v>217.36</v>
      </c>
      <c r="BO12" s="2">
        <f t="shared" si="130"/>
        <v>226.05440000000002</v>
      </c>
      <c r="BP12" s="2">
        <f t="shared" si="130"/>
        <v>235.09657600000003</v>
      </c>
      <c r="BQ12" s="2">
        <f t="shared" si="130"/>
        <v>244.50043904000003</v>
      </c>
      <c r="BR12" s="2">
        <f t="shared" si="130"/>
        <v>254.28045660160004</v>
      </c>
      <c r="BS12" s="2">
        <f t="shared" si="130"/>
        <v>264.45167486566407</v>
      </c>
      <c r="BT12" s="2">
        <f t="shared" si="130"/>
        <v>275.02974186029064</v>
      </c>
      <c r="BU12" s="2">
        <f t="shared" si="130"/>
        <v>286.03093153470229</v>
      </c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GJ12" s="1" t="s">
        <v>58</v>
      </c>
    </row>
    <row r="13" spans="1:192" x14ac:dyDescent="0.25">
      <c r="B13" s="1" t="s">
        <v>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>
        <v>36.173000000000002</v>
      </c>
      <c r="O13" s="2">
        <v>37.725000000000001</v>
      </c>
      <c r="P13" s="2">
        <v>37.792999999999999</v>
      </c>
      <c r="Q13" s="2">
        <f t="shared" si="127"/>
        <v>42.609000000000009</v>
      </c>
      <c r="R13" s="2">
        <v>39.143999999999998</v>
      </c>
      <c r="S13" s="2">
        <v>38.058</v>
      </c>
      <c r="T13" s="2">
        <v>41.042000000000002</v>
      </c>
      <c r="U13" s="2">
        <f t="shared" si="128"/>
        <v>43.656000000000006</v>
      </c>
      <c r="V13" s="2">
        <v>39.046999999999997</v>
      </c>
      <c r="W13" s="2">
        <v>45.308999999999997</v>
      </c>
      <c r="X13" s="2">
        <v>37.005000000000003</v>
      </c>
      <c r="Y13" s="2">
        <f t="shared" si="131"/>
        <v>47.739000000000004</v>
      </c>
      <c r="Z13" s="2">
        <v>40.362000000000002</v>
      </c>
      <c r="AA13" s="2">
        <v>48.692</v>
      </c>
      <c r="AB13" s="2">
        <f t="shared" si="129"/>
        <v>47.945999999999998</v>
      </c>
      <c r="AC13" s="2">
        <v>49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 t="s">
        <v>35</v>
      </c>
      <c r="BE13" s="2">
        <v>8.6</v>
      </c>
      <c r="BF13" s="2">
        <v>39.9</v>
      </c>
      <c r="BG13" s="2">
        <v>72</v>
      </c>
      <c r="BH13" s="2">
        <v>110.2</v>
      </c>
      <c r="BI13" s="2">
        <v>128</v>
      </c>
      <c r="BJ13" s="2">
        <v>154.30000000000001</v>
      </c>
      <c r="BK13" s="2">
        <v>161.9</v>
      </c>
      <c r="BL13" s="2">
        <v>169.1</v>
      </c>
      <c r="BM13" s="2">
        <v>186</v>
      </c>
      <c r="BN13" s="2">
        <f t="shared" si="130"/>
        <v>193.44</v>
      </c>
      <c r="BO13" s="2">
        <f t="shared" si="130"/>
        <v>201.17760000000001</v>
      </c>
      <c r="BP13" s="2">
        <f t="shared" si="130"/>
        <v>209.22470400000003</v>
      </c>
      <c r="BQ13" s="2">
        <f t="shared" si="130"/>
        <v>217.59369216000005</v>
      </c>
      <c r="BR13" s="2">
        <f t="shared" si="130"/>
        <v>226.29743984640007</v>
      </c>
      <c r="BS13" s="2">
        <f t="shared" si="130"/>
        <v>235.34933744025608</v>
      </c>
      <c r="BT13" s="2">
        <f t="shared" si="130"/>
        <v>244.76331093786632</v>
      </c>
      <c r="BU13" s="2">
        <f t="shared" si="130"/>
        <v>254.55384337538098</v>
      </c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GJ13" s="1" t="s">
        <v>58</v>
      </c>
    </row>
    <row r="14" spans="1:192" x14ac:dyDescent="0.25">
      <c r="B14" s="1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>
        <v>67.686999999999998</v>
      </c>
      <c r="N14" s="2">
        <v>59.337000000000003</v>
      </c>
      <c r="O14" s="2">
        <v>57.601999999999997</v>
      </c>
      <c r="P14" s="2">
        <v>57.037999999999997</v>
      </c>
      <c r="Q14" s="2">
        <f t="shared" si="127"/>
        <v>53.623000000000019</v>
      </c>
      <c r="R14" s="2">
        <v>50.478000000000002</v>
      </c>
      <c r="S14" s="2">
        <v>50.622</v>
      </c>
      <c r="T14" s="2">
        <v>42.947000000000003</v>
      </c>
      <c r="U14" s="2">
        <f t="shared" si="128"/>
        <v>36.753000000000014</v>
      </c>
      <c r="V14" s="2">
        <v>35.909999999999997</v>
      </c>
      <c r="W14" s="2">
        <v>28.550999999999998</v>
      </c>
      <c r="X14" s="2">
        <v>28.114999999999998</v>
      </c>
      <c r="Y14" s="2">
        <f t="shared" si="131"/>
        <v>28.324000000000012</v>
      </c>
      <c r="Z14" s="2">
        <v>25.135999999999999</v>
      </c>
      <c r="AA14" s="2">
        <v>27.033999999999999</v>
      </c>
      <c r="AB14" s="2">
        <f t="shared" si="129"/>
        <v>24.83</v>
      </c>
      <c r="AC14" s="2">
        <v>23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 t="s">
        <v>35</v>
      </c>
      <c r="AU14" s="2">
        <v>0.4</v>
      </c>
      <c r="AV14" s="2">
        <v>46.7</v>
      </c>
      <c r="AW14" s="2">
        <v>76.8</v>
      </c>
      <c r="AX14" s="2">
        <v>99.4</v>
      </c>
      <c r="AY14" s="2">
        <v>116.8</v>
      </c>
      <c r="AZ14" s="2">
        <v>143.1</v>
      </c>
      <c r="BA14" s="2">
        <v>167.4</v>
      </c>
      <c r="BB14" s="2">
        <v>203</v>
      </c>
      <c r="BC14" s="2">
        <v>239.3</v>
      </c>
      <c r="BD14" s="2">
        <v>348</v>
      </c>
      <c r="BE14" s="2">
        <v>407.5</v>
      </c>
      <c r="BF14" s="2">
        <v>433.6</v>
      </c>
      <c r="BG14" s="2">
        <v>463.4</v>
      </c>
      <c r="BH14" s="2">
        <v>457.7</v>
      </c>
      <c r="BI14" s="2">
        <v>285.8</v>
      </c>
      <c r="BJ14" s="2">
        <v>227.6</v>
      </c>
      <c r="BK14" s="2">
        <v>180.8</v>
      </c>
      <c r="BL14" s="2">
        <v>120.9</v>
      </c>
      <c r="BM14" s="2">
        <v>100</v>
      </c>
      <c r="BN14" s="2">
        <f t="shared" si="130"/>
        <v>104</v>
      </c>
      <c r="BO14" s="2">
        <f t="shared" si="130"/>
        <v>108.16</v>
      </c>
      <c r="BP14" s="2">
        <f t="shared" si="130"/>
        <v>112.4864</v>
      </c>
      <c r="BQ14" s="2">
        <f t="shared" si="130"/>
        <v>116.98585600000001</v>
      </c>
      <c r="BR14" s="2">
        <f t="shared" si="130"/>
        <v>121.66529024000002</v>
      </c>
      <c r="BS14" s="2">
        <f t="shared" si="130"/>
        <v>126.53190184960002</v>
      </c>
      <c r="BT14" s="2">
        <f t="shared" si="130"/>
        <v>131.59317792358402</v>
      </c>
      <c r="BU14" s="2">
        <f t="shared" si="130"/>
        <v>136.85690504052738</v>
      </c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GJ14" s="1" t="s">
        <v>58</v>
      </c>
    </row>
    <row r="15" spans="1:192" x14ac:dyDescent="0.25">
      <c r="B15" s="1" t="s">
        <v>30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35</v>
      </c>
      <c r="O15" s="2" t="s">
        <v>35</v>
      </c>
      <c r="P15" s="2" t="s">
        <v>35</v>
      </c>
      <c r="Q15" s="2" t="s">
        <v>35</v>
      </c>
      <c r="R15" s="2" t="s">
        <v>35</v>
      </c>
      <c r="S15" s="2" t="s">
        <v>35</v>
      </c>
      <c r="T15" s="2">
        <v>0.82199999999999995</v>
      </c>
      <c r="U15" s="2">
        <f t="shared" si="128"/>
        <v>2.6779999999999999</v>
      </c>
      <c r="V15" s="2">
        <v>0.84899999999999998</v>
      </c>
      <c r="W15" s="2">
        <v>7.4320000000000004</v>
      </c>
      <c r="X15" s="2">
        <v>7.2350000000000003</v>
      </c>
      <c r="Y15" s="2">
        <f t="shared" si="131"/>
        <v>10.483999999999998</v>
      </c>
      <c r="Z15" s="2">
        <v>10.51</v>
      </c>
      <c r="AA15" s="2">
        <v>9.1989999999999998</v>
      </c>
      <c r="AB15" s="2">
        <f t="shared" si="129"/>
        <v>3.2909999999999968</v>
      </c>
      <c r="AC15" s="2">
        <v>13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 t="s">
        <v>35</v>
      </c>
      <c r="BK15" s="2">
        <v>3.5</v>
      </c>
      <c r="BL15" s="2">
        <v>26</v>
      </c>
      <c r="BM15" s="2">
        <v>36</v>
      </c>
      <c r="BN15" s="2">
        <f t="shared" si="130"/>
        <v>37.44</v>
      </c>
      <c r="BO15" s="2">
        <f t="shared" si="130"/>
        <v>38.937599999999996</v>
      </c>
      <c r="BP15" s="2">
        <f t="shared" si="130"/>
        <v>40.495103999999998</v>
      </c>
      <c r="BQ15" s="2">
        <f t="shared" si="130"/>
        <v>42.114908159999999</v>
      </c>
      <c r="BR15" s="2">
        <f t="shared" si="130"/>
        <v>43.799504486400004</v>
      </c>
      <c r="BS15" s="2">
        <f t="shared" si="130"/>
        <v>45.551484665856002</v>
      </c>
      <c r="BT15" s="2">
        <f t="shared" si="130"/>
        <v>47.373544052490246</v>
      </c>
      <c r="BU15" s="2">
        <f t="shared" si="130"/>
        <v>49.268485814589859</v>
      </c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GJ15" s="1" t="s">
        <v>58</v>
      </c>
    </row>
    <row r="16" spans="1:192" x14ac:dyDescent="0.25">
      <c r="B16" s="1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f>+SUM(N8:N15)</f>
        <v>505.52499999999998</v>
      </c>
      <c r="O16" s="2">
        <f>+SUM(O8:O15)</f>
        <v>517.66</v>
      </c>
      <c r="P16" s="2">
        <v>493.34800000000001</v>
      </c>
      <c r="Q16" s="2">
        <v>493.34800000000001</v>
      </c>
      <c r="R16" s="2">
        <f>+SUM(R8:R15)</f>
        <v>586.42399999999998</v>
      </c>
      <c r="S16" s="2">
        <f>+SUM(S8:S15)</f>
        <v>584.69799999999998</v>
      </c>
      <c r="T16" s="2">
        <f>+SUM(T8:T15)</f>
        <v>568.26599999999996</v>
      </c>
      <c r="U16" s="2">
        <f>+SUM(U8:U15)</f>
        <v>633.11200000000008</v>
      </c>
      <c r="V16" s="2">
        <f t="shared" ref="V16:AC16" si="132">+SUM(V8:V15)</f>
        <v>637.81500000000005</v>
      </c>
      <c r="W16" s="2">
        <f t="shared" si="132"/>
        <v>702.12900000000002</v>
      </c>
      <c r="X16" s="2">
        <f t="shared" si="132"/>
        <v>733.86699999999996</v>
      </c>
      <c r="Y16" s="2">
        <f t="shared" si="132"/>
        <v>734.98000000000013</v>
      </c>
      <c r="Z16" s="2">
        <f t="shared" si="132"/>
        <v>734.64399999999989</v>
      </c>
      <c r="AA16" s="2">
        <f t="shared" si="132"/>
        <v>812.98199999999997</v>
      </c>
      <c r="AB16" s="2">
        <v>760.81200000000001</v>
      </c>
      <c r="AC16" s="2">
        <f t="shared" si="132"/>
        <v>858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>
        <v>1661.0429999999999</v>
      </c>
      <c r="BH16" s="2">
        <v>1805.8610000000001</v>
      </c>
      <c r="BI16" s="2">
        <v>1783.498</v>
      </c>
      <c r="BJ16" s="2">
        <f>+SUM(BJ8:BJ15)</f>
        <v>2042</v>
      </c>
      <c r="BK16" s="2">
        <f>+SUM(BK8:BK15)</f>
        <v>2372.5</v>
      </c>
      <c r="BL16" s="2">
        <f>+SUM(BL8:BL15)</f>
        <v>2809.4</v>
      </c>
      <c r="BM16" s="2">
        <f t="shared" ref="BM16:BU16" si="133">+SUM(BM8:BM15)</f>
        <v>3168</v>
      </c>
      <c r="BN16" s="2">
        <f t="shared" si="133"/>
        <v>3294.7200000000007</v>
      </c>
      <c r="BO16" s="2">
        <f t="shared" si="133"/>
        <v>3426.5088000000005</v>
      </c>
      <c r="BP16" s="2">
        <f t="shared" si="133"/>
        <v>3563.5691520000005</v>
      </c>
      <c r="BQ16" s="2">
        <f t="shared" si="133"/>
        <v>3706.111918080001</v>
      </c>
      <c r="BR16" s="2">
        <f t="shared" si="133"/>
        <v>3854.3563948032015</v>
      </c>
      <c r="BS16" s="2">
        <f t="shared" si="133"/>
        <v>4008.5306505953295</v>
      </c>
      <c r="BT16" s="2">
        <f t="shared" si="133"/>
        <v>4168.8718766191423</v>
      </c>
      <c r="BU16" s="2">
        <f t="shared" si="133"/>
        <v>4335.626751683908</v>
      </c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GJ16" s="1" t="s">
        <v>58</v>
      </c>
    </row>
    <row r="17" spans="2:192" x14ac:dyDescent="0.25">
      <c r="B17" s="1" t="s">
        <v>36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13.834</v>
      </c>
      <c r="O17" s="2">
        <v>16.138000000000002</v>
      </c>
      <c r="P17" s="2">
        <v>11.996</v>
      </c>
      <c r="Q17" s="2">
        <f t="shared" si="127"/>
        <v>12.045999999999999</v>
      </c>
      <c r="R17" s="2">
        <v>9.9890000000000008</v>
      </c>
      <c r="S17" s="2">
        <v>10.577</v>
      </c>
      <c r="T17" s="2">
        <v>13.063000000000001</v>
      </c>
      <c r="U17" s="2">
        <f t="shared" si="128"/>
        <v>13.058999999999997</v>
      </c>
      <c r="V17" s="2">
        <v>11.018000000000001</v>
      </c>
      <c r="W17" s="2">
        <v>9.9</v>
      </c>
      <c r="X17" s="2">
        <v>11.872999999999999</v>
      </c>
      <c r="Y17" s="2">
        <f t="shared" si="131"/>
        <v>11.679000000000002</v>
      </c>
      <c r="Z17" s="2">
        <v>10.500999999999999</v>
      </c>
      <c r="AA17" s="2">
        <v>12.428000000000001</v>
      </c>
      <c r="AB17" s="2">
        <v>15.321</v>
      </c>
      <c r="AC17" s="2">
        <v>15.244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>
        <v>43.005000000000003</v>
      </c>
      <c r="BH17" s="2">
        <v>54.594000000000001</v>
      </c>
      <c r="BI17" s="2">
        <v>62.777000000000001</v>
      </c>
      <c r="BJ17" s="2">
        <v>54.014000000000003</v>
      </c>
      <c r="BK17" s="2">
        <v>46.688000000000002</v>
      </c>
      <c r="BL17" s="2">
        <v>44.47</v>
      </c>
      <c r="BM17" s="2">
        <v>53.494</v>
      </c>
      <c r="BN17" s="2">
        <f t="shared" ref="BN17:BU17" si="134">+BM17*1.01</f>
        <v>54.028939999999999</v>
      </c>
      <c r="BO17" s="2">
        <f t="shared" si="134"/>
        <v>54.569229399999998</v>
      </c>
      <c r="BP17" s="2">
        <f t="shared" si="134"/>
        <v>55.114921693999996</v>
      </c>
      <c r="BQ17" s="2">
        <f t="shared" si="134"/>
        <v>55.666070910939993</v>
      </c>
      <c r="BR17" s="2">
        <f t="shared" si="134"/>
        <v>56.222731620049395</v>
      </c>
      <c r="BS17" s="2">
        <f t="shared" si="134"/>
        <v>56.784958936249886</v>
      </c>
      <c r="BT17" s="2">
        <f t="shared" si="134"/>
        <v>57.352808525612389</v>
      </c>
      <c r="BU17" s="2">
        <f t="shared" si="134"/>
        <v>57.92633661086851</v>
      </c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GJ17" s="1" t="s">
        <v>58</v>
      </c>
    </row>
    <row r="18" spans="2:192" s="4" customFormat="1" x14ac:dyDescent="0.25">
      <c r="B18" s="4" t="s">
        <v>37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f>+SUM(N16:N17)</f>
        <v>519.35899999999992</v>
      </c>
      <c r="O18" s="5">
        <f>+SUM(O16:O17)</f>
        <v>533.798</v>
      </c>
      <c r="P18" s="5">
        <f>+SUM(P16:P17)</f>
        <v>505.34399999999999</v>
      </c>
      <c r="Q18" s="5">
        <f>+SUM(Q16:Q17)</f>
        <v>505.39400000000001</v>
      </c>
      <c r="R18" s="5">
        <f>+SUM(R16:R17)</f>
        <v>596.41300000000001</v>
      </c>
      <c r="S18" s="5">
        <f>+SUM(S16:S17)</f>
        <v>595.27499999999998</v>
      </c>
      <c r="T18" s="5">
        <f>+SUM(T16:T17)</f>
        <v>581.32899999999995</v>
      </c>
      <c r="U18" s="5">
        <f>+SUM(U16:U17)</f>
        <v>646.17100000000005</v>
      </c>
      <c r="V18" s="5">
        <f t="shared" ref="V18:AB18" si="135">+SUM(V16:V17)</f>
        <v>648.83300000000008</v>
      </c>
      <c r="W18" s="5">
        <f t="shared" si="135"/>
        <v>712.029</v>
      </c>
      <c r="X18" s="5">
        <f t="shared" si="135"/>
        <v>745.74</v>
      </c>
      <c r="Y18" s="5">
        <f t="shared" si="135"/>
        <v>746.65900000000011</v>
      </c>
      <c r="Z18" s="5">
        <f t="shared" si="135"/>
        <v>745.14499999999987</v>
      </c>
      <c r="AA18" s="5">
        <f t="shared" si="135"/>
        <v>825.41</v>
      </c>
      <c r="AB18" s="5">
        <f t="shared" si="135"/>
        <v>776.13300000000004</v>
      </c>
      <c r="AC18" s="5">
        <f t="shared" ref="AC18" si="136">+SUM(AC16:AC17)</f>
        <v>873.24400000000003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f>+SUM(BG16:BG17)</f>
        <v>1704.048</v>
      </c>
      <c r="BH18" s="5">
        <f>+SUM(BH16:BH17)</f>
        <v>1860.4550000000002</v>
      </c>
      <c r="BI18" s="5">
        <f>+SUM(BI16:BI17)</f>
        <v>1846.2750000000001</v>
      </c>
      <c r="BJ18" s="5">
        <f>+SUM(BJ16:BJ17)</f>
        <v>2096.0140000000001</v>
      </c>
      <c r="BK18" s="5">
        <f>+SUM(BK16:BK17)</f>
        <v>2419.1880000000001</v>
      </c>
      <c r="BL18" s="5">
        <f>+SUM(BL16:BL17)</f>
        <v>2853.87</v>
      </c>
      <c r="BM18" s="5">
        <f t="shared" ref="BM18:BU18" si="137">+SUM(BM16:BM17)</f>
        <v>3221.4940000000001</v>
      </c>
      <c r="BN18" s="5">
        <f t="shared" si="137"/>
        <v>3348.7489400000009</v>
      </c>
      <c r="BO18" s="5">
        <f t="shared" si="137"/>
        <v>3481.0780294000006</v>
      </c>
      <c r="BP18" s="5">
        <f t="shared" si="137"/>
        <v>3618.6840736940003</v>
      </c>
      <c r="BQ18" s="5">
        <f t="shared" si="137"/>
        <v>3761.7779889909411</v>
      </c>
      <c r="BR18" s="5">
        <f t="shared" si="137"/>
        <v>3910.5791264232507</v>
      </c>
      <c r="BS18" s="5">
        <f t="shared" si="137"/>
        <v>4065.3156095315794</v>
      </c>
      <c r="BT18" s="5">
        <f t="shared" si="137"/>
        <v>4226.2246851447544</v>
      </c>
      <c r="BU18" s="5">
        <f t="shared" si="137"/>
        <v>4393.5530882947769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GJ18" s="1" t="s">
        <v>58</v>
      </c>
    </row>
    <row r="19" spans="2:192" x14ac:dyDescent="0.25">
      <c r="B19" s="1" t="s">
        <v>38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v>116.965</v>
      </c>
      <c r="O19" s="2">
        <v>123.126</v>
      </c>
      <c r="P19" s="2">
        <v>116.288</v>
      </c>
      <c r="Q19" s="2">
        <f t="shared" si="127"/>
        <v>146.64400000000001</v>
      </c>
      <c r="R19" s="2">
        <v>126.54900000000001</v>
      </c>
      <c r="S19" s="2">
        <v>128.08199999999999</v>
      </c>
      <c r="T19" s="2">
        <v>128.041</v>
      </c>
      <c r="U19" s="2">
        <f t="shared" si="128"/>
        <v>149.38999999999999</v>
      </c>
      <c r="V19" s="2">
        <v>125.18</v>
      </c>
      <c r="W19" s="2">
        <v>130.459</v>
      </c>
      <c r="X19" s="2">
        <v>188.45699999999999</v>
      </c>
      <c r="Y19" s="2">
        <f t="shared" si="131"/>
        <v>136.13900000000001</v>
      </c>
      <c r="Z19" s="2">
        <v>151.55799999999999</v>
      </c>
      <c r="AA19" s="2">
        <v>150.09</v>
      </c>
      <c r="AB19" s="2">
        <v>140.08500000000001</v>
      </c>
      <c r="AC19" s="2">
        <v>275.709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>
        <v>359.46600000000001</v>
      </c>
      <c r="BH19" s="2">
        <v>524.27200000000005</v>
      </c>
      <c r="BI19" s="2">
        <v>470.51499999999999</v>
      </c>
      <c r="BJ19" s="2">
        <v>503.02300000000002</v>
      </c>
      <c r="BK19" s="2">
        <v>532.06200000000001</v>
      </c>
      <c r="BL19" s="2">
        <v>580.23500000000001</v>
      </c>
      <c r="BM19" s="2">
        <v>717.44200000000001</v>
      </c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GJ19" s="1" t="s">
        <v>58</v>
      </c>
    </row>
    <row r="20" spans="2:192" x14ac:dyDescent="0.25">
      <c r="B20" s="1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f t="shared" ref="N20:Q20" si="138">+N18-N19</f>
        <v>402.39399999999989</v>
      </c>
      <c r="O20" s="2">
        <f t="shared" si="138"/>
        <v>410.67200000000003</v>
      </c>
      <c r="P20" s="2">
        <f t="shared" si="138"/>
        <v>389.05599999999998</v>
      </c>
      <c r="Q20" s="2">
        <f t="shared" si="138"/>
        <v>358.75</v>
      </c>
      <c r="R20" s="2">
        <f t="shared" ref="R20:Y20" si="139">+R18-R19</f>
        <v>469.86400000000003</v>
      </c>
      <c r="S20" s="2">
        <f t="shared" si="139"/>
        <v>467.19299999999998</v>
      </c>
      <c r="T20" s="2">
        <f t="shared" si="139"/>
        <v>453.28799999999995</v>
      </c>
      <c r="U20" s="2">
        <f t="shared" si="139"/>
        <v>496.78100000000006</v>
      </c>
      <c r="V20" s="2">
        <f t="shared" si="139"/>
        <v>523.65300000000002</v>
      </c>
      <c r="W20" s="2">
        <f t="shared" si="139"/>
        <v>581.56999999999994</v>
      </c>
      <c r="X20" s="2">
        <f t="shared" si="139"/>
        <v>557.28300000000002</v>
      </c>
      <c r="Y20" s="2">
        <f t="shared" si="139"/>
        <v>610.5200000000001</v>
      </c>
      <c r="Z20" s="2">
        <f t="shared" ref="Z20:AC20" si="140">+Z18-Z19</f>
        <v>593.58699999999988</v>
      </c>
      <c r="AA20" s="2">
        <f t="shared" si="140"/>
        <v>675.31999999999994</v>
      </c>
      <c r="AB20" s="2">
        <f t="shared" si="140"/>
        <v>636.048</v>
      </c>
      <c r="AC20" s="2">
        <f t="shared" si="140"/>
        <v>597.53500000000008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>
        <f>+BG18-BG19</f>
        <v>1344.5819999999999</v>
      </c>
      <c r="BH20" s="2">
        <f>+BH18-BH19</f>
        <v>1336.183</v>
      </c>
      <c r="BI20" s="2">
        <f>+BI18-BI19</f>
        <v>1375.7600000000002</v>
      </c>
      <c r="BJ20" s="2">
        <f>+BJ18-BJ19</f>
        <v>1592.991</v>
      </c>
      <c r="BK20" s="2">
        <f t="shared" ref="BK20:BM20" si="141">+BK18-BK19</f>
        <v>1887.1260000000002</v>
      </c>
      <c r="BL20" s="2">
        <f t="shared" si="141"/>
        <v>2273.6349999999998</v>
      </c>
      <c r="BM20" s="2">
        <f t="shared" si="141"/>
        <v>2504.0520000000001</v>
      </c>
      <c r="BN20" s="2">
        <f t="shared" ref="BN20:BU20" si="142">+BN18*BN39</f>
        <v>2612.0241732000009</v>
      </c>
      <c r="BO20" s="2">
        <f t="shared" si="142"/>
        <v>2715.2408629320007</v>
      </c>
      <c r="BP20" s="2">
        <f t="shared" si="142"/>
        <v>2822.5735774813202</v>
      </c>
      <c r="BQ20" s="2">
        <f t="shared" si="142"/>
        <v>2934.1868314129342</v>
      </c>
      <c r="BR20" s="2">
        <f t="shared" si="142"/>
        <v>3050.2517186101359</v>
      </c>
      <c r="BS20" s="2">
        <f t="shared" si="142"/>
        <v>3170.9461754346321</v>
      </c>
      <c r="BT20" s="2">
        <f t="shared" si="142"/>
        <v>3296.4552544129087</v>
      </c>
      <c r="BU20" s="2">
        <f t="shared" si="142"/>
        <v>3426.9714088699261</v>
      </c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GJ20" s="1" t="s">
        <v>58</v>
      </c>
    </row>
    <row r="21" spans="2:192" x14ac:dyDescent="0.25">
      <c r="B21" s="1" t="s">
        <v>47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v>160.83600000000001</v>
      </c>
      <c r="O21" s="2">
        <v>158.19</v>
      </c>
      <c r="P21" s="2">
        <v>157.82900000000001</v>
      </c>
      <c r="Q21" s="2">
        <f t="shared" si="127"/>
        <v>172.75099999999998</v>
      </c>
      <c r="R21" s="2">
        <v>171.846</v>
      </c>
      <c r="S21" s="2">
        <v>177.363</v>
      </c>
      <c r="T21" s="2">
        <v>191.31399999999999</v>
      </c>
      <c r="U21" s="2">
        <f t="shared" si="128"/>
        <v>206.25</v>
      </c>
      <c r="V21" s="2">
        <v>204.98699999999999</v>
      </c>
      <c r="W21" s="2">
        <v>183.78700000000001</v>
      </c>
      <c r="X21" s="2">
        <v>184.90100000000001</v>
      </c>
      <c r="Y21" s="2">
        <f t="shared" si="131"/>
        <v>173.50900000000001</v>
      </c>
      <c r="Z21" s="2">
        <v>158.73099999999999</v>
      </c>
      <c r="AA21" s="2">
        <v>161.30799999999999</v>
      </c>
      <c r="AB21" s="2">
        <v>409.47800000000001</v>
      </c>
      <c r="AC21" s="2">
        <v>192.41300000000001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>
        <v>715.00699999999995</v>
      </c>
      <c r="BH21" s="2">
        <v>628.11599999999999</v>
      </c>
      <c r="BI21" s="2">
        <v>628.79300000000001</v>
      </c>
      <c r="BJ21" s="2">
        <v>649.60599999999999</v>
      </c>
      <c r="BK21" s="2">
        <v>746.77300000000002</v>
      </c>
      <c r="BL21" s="2">
        <v>747.18399999999997</v>
      </c>
      <c r="BM21" s="2">
        <v>921.93</v>
      </c>
      <c r="BN21" s="2">
        <f t="shared" ref="BN21:BU21" si="143">+BM21*1.05</f>
        <v>968.02649999999994</v>
      </c>
      <c r="BO21" s="2">
        <f t="shared" si="143"/>
        <v>1016.427825</v>
      </c>
      <c r="BP21" s="2">
        <f t="shared" si="143"/>
        <v>1067.24921625</v>
      </c>
      <c r="BQ21" s="2">
        <f t="shared" si="143"/>
        <v>1120.6116770625001</v>
      </c>
      <c r="BR21" s="2">
        <f t="shared" si="143"/>
        <v>1176.6422609156252</v>
      </c>
      <c r="BS21" s="2">
        <f t="shared" si="143"/>
        <v>1235.4743739614066</v>
      </c>
      <c r="BT21" s="2">
        <f t="shared" si="143"/>
        <v>1297.2480926594769</v>
      </c>
      <c r="BU21" s="2">
        <f t="shared" si="143"/>
        <v>1362.1104972924509</v>
      </c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GJ21" s="1" t="s">
        <v>58</v>
      </c>
    </row>
    <row r="22" spans="2:192" x14ac:dyDescent="0.25">
      <c r="B22" s="1" t="s">
        <v>48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>
        <v>194.619</v>
      </c>
      <c r="O22" s="2">
        <v>196.83500000000001</v>
      </c>
      <c r="P22" s="2">
        <v>216.816</v>
      </c>
      <c r="Q22" s="2">
        <f t="shared" si="127"/>
        <v>214.97300000000007</v>
      </c>
      <c r="R22" s="2">
        <v>223.00299999999999</v>
      </c>
      <c r="S22" s="2">
        <v>215.33600000000001</v>
      </c>
      <c r="T22" s="2">
        <v>215.768</v>
      </c>
      <c r="U22" s="2">
        <f t="shared" si="128"/>
        <v>238.29899999999998</v>
      </c>
      <c r="V22" s="2">
        <v>225.90600000000001</v>
      </c>
      <c r="W22" s="2">
        <v>263.03199999999998</v>
      </c>
      <c r="X22" s="2">
        <v>253.48</v>
      </c>
      <c r="Y22" s="2">
        <f t="shared" si="131"/>
        <v>266.60699999999997</v>
      </c>
      <c r="Z22" s="2">
        <v>206.11600000000001</v>
      </c>
      <c r="AA22" s="2">
        <v>232.279</v>
      </c>
      <c r="AB22" s="2">
        <v>268.41500000000002</v>
      </c>
      <c r="AC22" s="2">
        <v>446.20699999999999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>
        <v>680.92399999999998</v>
      </c>
      <c r="BH22" s="2">
        <v>737.66899999999998</v>
      </c>
      <c r="BI22" s="2">
        <v>759.375</v>
      </c>
      <c r="BJ22" s="2">
        <v>823.24300000000005</v>
      </c>
      <c r="BK22" s="2">
        <v>892.40599999999995</v>
      </c>
      <c r="BL22" s="2">
        <v>1009.025</v>
      </c>
      <c r="BM22" s="2">
        <v>1153.0170000000001</v>
      </c>
      <c r="BN22" s="2">
        <f t="shared" ref="BN22:BU22" si="144">+BM22*1.02</f>
        <v>1176.07734</v>
      </c>
      <c r="BO22" s="2">
        <f t="shared" si="144"/>
        <v>1199.5988868000002</v>
      </c>
      <c r="BP22" s="2">
        <f t="shared" si="144"/>
        <v>1223.5908645360003</v>
      </c>
      <c r="BQ22" s="2">
        <f t="shared" si="144"/>
        <v>1248.0626818267203</v>
      </c>
      <c r="BR22" s="2">
        <f t="shared" si="144"/>
        <v>1273.0239354632547</v>
      </c>
      <c r="BS22" s="2">
        <f t="shared" si="144"/>
        <v>1298.4844141725198</v>
      </c>
      <c r="BT22" s="2">
        <f t="shared" si="144"/>
        <v>1324.4541024559703</v>
      </c>
      <c r="BU22" s="2">
        <f t="shared" si="144"/>
        <v>1350.9431845050897</v>
      </c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GJ22" s="1" t="s">
        <v>58</v>
      </c>
    </row>
    <row r="23" spans="2:192" x14ac:dyDescent="0.25">
      <c r="B23" s="1" t="s">
        <v>49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>
        <v>17.611999999999998</v>
      </c>
      <c r="O23" s="2">
        <v>16.495000000000001</v>
      </c>
      <c r="P23" s="2">
        <v>16.827999999999999</v>
      </c>
      <c r="Q23" s="2">
        <f t="shared" si="127"/>
        <v>16.257999999999996</v>
      </c>
      <c r="R23" s="2">
        <v>15.67</v>
      </c>
      <c r="S23" s="2">
        <v>15.624000000000001</v>
      </c>
      <c r="T23" s="2">
        <v>15.680999999999999</v>
      </c>
      <c r="U23" s="2">
        <f t="shared" si="128"/>
        <v>15.235999999999997</v>
      </c>
      <c r="V23" s="2">
        <v>14.298</v>
      </c>
      <c r="W23" s="2">
        <v>14.298999999999999</v>
      </c>
      <c r="X23" s="2">
        <v>5.0090000000000003</v>
      </c>
      <c r="Y23" s="2">
        <f t="shared" si="131"/>
        <v>9.6509999999999962</v>
      </c>
      <c r="Z23" s="2">
        <v>4.8470000000000004</v>
      </c>
      <c r="AA23" s="2">
        <v>4.8460000000000001</v>
      </c>
      <c r="AB23" s="2">
        <v>4.8470000000000004</v>
      </c>
      <c r="AC23" s="2">
        <v>4.8460000000000001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>
        <v>74.108000000000004</v>
      </c>
      <c r="BH23" s="2">
        <v>66.658000000000001</v>
      </c>
      <c r="BI23" s="2">
        <v>69.933000000000007</v>
      </c>
      <c r="BJ23" s="2">
        <v>67.192999999999998</v>
      </c>
      <c r="BK23" s="2">
        <v>62.210999999999999</v>
      </c>
      <c r="BL23" s="2">
        <v>43.256999999999998</v>
      </c>
      <c r="BM23" s="2">
        <v>19.385999999999999</v>
      </c>
      <c r="BN23" s="2">
        <v>50</v>
      </c>
      <c r="BO23" s="2">
        <v>50</v>
      </c>
      <c r="BP23" s="2">
        <v>50</v>
      </c>
      <c r="BQ23" s="2">
        <v>50</v>
      </c>
      <c r="BR23" s="2">
        <v>50</v>
      </c>
      <c r="BS23" s="2">
        <v>50</v>
      </c>
      <c r="BT23" s="2">
        <v>50</v>
      </c>
      <c r="BU23" s="2">
        <v>50</v>
      </c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GJ23" s="1" t="s">
        <v>58</v>
      </c>
    </row>
    <row r="24" spans="2:192" x14ac:dyDescent="0.25">
      <c r="B24" s="1" t="s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-108</v>
      </c>
      <c r="O24" s="2" t="s">
        <v>35</v>
      </c>
      <c r="P24" s="2" t="s">
        <v>35</v>
      </c>
      <c r="Q24" s="2">
        <f t="shared" si="127"/>
        <v>0</v>
      </c>
      <c r="R24" s="2" t="s">
        <v>35</v>
      </c>
      <c r="S24" s="2" t="s">
        <v>35</v>
      </c>
      <c r="T24" s="2" t="s">
        <v>35</v>
      </c>
      <c r="U24" s="2">
        <f t="shared" si="128"/>
        <v>0</v>
      </c>
      <c r="V24" s="2">
        <v>-10</v>
      </c>
      <c r="W24" s="2" t="s">
        <v>35</v>
      </c>
      <c r="X24" s="2" t="s">
        <v>35</v>
      </c>
      <c r="Y24" s="2">
        <f t="shared" si="131"/>
        <v>0</v>
      </c>
      <c r="Z24" s="2" t="s">
        <v>35</v>
      </c>
      <c r="AA24" s="2" t="s">
        <v>35</v>
      </c>
      <c r="AB24" s="2">
        <v>0</v>
      </c>
      <c r="AC24" s="2" t="s">
        <v>35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>
        <v>-25</v>
      </c>
      <c r="BH24" s="2">
        <v>-59.494999999999997</v>
      </c>
      <c r="BI24" s="2">
        <v>0</v>
      </c>
      <c r="BJ24" s="2">
        <v>-108</v>
      </c>
      <c r="BK24" s="2" t="s">
        <v>35</v>
      </c>
      <c r="BL24" s="2">
        <v>-10</v>
      </c>
      <c r="BM24" s="2" t="s">
        <v>35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GJ24" s="1" t="s">
        <v>58</v>
      </c>
    </row>
    <row r="25" spans="2:192" x14ac:dyDescent="0.25">
      <c r="B25" s="1" t="s">
        <v>46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f>+SUM(N21:N24)</f>
        <v>265.06700000000006</v>
      </c>
      <c r="O25" s="2">
        <f>+SUM(O21:O24)</f>
        <v>371.52</v>
      </c>
      <c r="P25" s="2">
        <f>+SUM(P21:P24)</f>
        <v>391.47299999999996</v>
      </c>
      <c r="Q25" s="2">
        <f>+SUM(Q21:Q24)</f>
        <v>403.98200000000003</v>
      </c>
      <c r="R25" s="2">
        <f>+SUM(R21:R24)</f>
        <v>410.51900000000001</v>
      </c>
      <c r="S25" s="2">
        <f>+SUM(S21:S24)</f>
        <v>408.32300000000004</v>
      </c>
      <c r="T25" s="2">
        <f>+SUM(T21:T24)</f>
        <v>422.76299999999998</v>
      </c>
      <c r="U25" s="2">
        <f>+SUM(U21:U24)</f>
        <v>459.78499999999997</v>
      </c>
      <c r="V25" s="2">
        <f t="shared" ref="V25:AB25" si="145">+SUM(V21:V24)</f>
        <v>435.19100000000003</v>
      </c>
      <c r="W25" s="2">
        <f t="shared" si="145"/>
        <v>461.11799999999994</v>
      </c>
      <c r="X25" s="2">
        <f t="shared" si="145"/>
        <v>443.39</v>
      </c>
      <c r="Y25" s="2">
        <f t="shared" si="145"/>
        <v>449.767</v>
      </c>
      <c r="Z25" s="2">
        <f t="shared" si="145"/>
        <v>369.69399999999996</v>
      </c>
      <c r="AA25" s="2">
        <f t="shared" si="145"/>
        <v>398.43299999999999</v>
      </c>
      <c r="AB25" s="2">
        <f t="shared" si="145"/>
        <v>682.74</v>
      </c>
      <c r="AC25" s="2">
        <f t="shared" ref="AC25" si="146">+SUM(AC21:AC24)</f>
        <v>643.46600000000001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>
        <f>+SUM(BG21:BG24)</f>
        <v>1445.039</v>
      </c>
      <c r="BH25" s="2">
        <f>+SUM(BH21:BH24)</f>
        <v>1372.9479999999999</v>
      </c>
      <c r="BI25" s="2">
        <f>+SUM(BI21:BI24)</f>
        <v>1458.1010000000001</v>
      </c>
      <c r="BJ25" s="2">
        <f>+SUM(BJ21:BJ24)</f>
        <v>1432.0420000000001</v>
      </c>
      <c r="BK25" s="2">
        <f>+SUM(BK21:BK24)</f>
        <v>1701.39</v>
      </c>
      <c r="BL25" s="2">
        <f>+SUM(BL21:BL24)</f>
        <v>1789.4659999999999</v>
      </c>
      <c r="BM25" s="2">
        <f>+SUM(BM21:BM24)</f>
        <v>2094.3330000000001</v>
      </c>
      <c r="BN25" s="2">
        <f t="shared" ref="BN25:BU25" si="147">+SUM(BN21:BN24)</f>
        <v>2194.1038399999998</v>
      </c>
      <c r="BO25" s="2">
        <f t="shared" si="147"/>
        <v>2266.0267118000002</v>
      </c>
      <c r="BP25" s="2">
        <f t="shared" si="147"/>
        <v>2340.8400807860003</v>
      </c>
      <c r="BQ25" s="2">
        <f t="shared" si="147"/>
        <v>2418.6743588892205</v>
      </c>
      <c r="BR25" s="2">
        <f t="shared" si="147"/>
        <v>2499.6661963788802</v>
      </c>
      <c r="BS25" s="2">
        <f t="shared" si="147"/>
        <v>2583.9587881339266</v>
      </c>
      <c r="BT25" s="2">
        <f t="shared" si="147"/>
        <v>2671.7021951154475</v>
      </c>
      <c r="BU25" s="2">
        <f t="shared" si="147"/>
        <v>2763.0536817975408</v>
      </c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GJ25" s="1" t="s">
        <v>58</v>
      </c>
    </row>
    <row r="26" spans="2:192" x14ac:dyDescent="0.25">
      <c r="B26" s="1" t="s">
        <v>45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f>+N20-N25</f>
        <v>137.32699999999983</v>
      </c>
      <c r="O26" s="2">
        <f>+O20-O25</f>
        <v>39.152000000000044</v>
      </c>
      <c r="P26" s="2">
        <f>+P20-P25</f>
        <v>-2.4169999999999732</v>
      </c>
      <c r="Q26" s="2">
        <f>+Q20-Q25</f>
        <v>-45.232000000000028</v>
      </c>
      <c r="R26" s="2">
        <f>+R20-R25</f>
        <v>59.345000000000027</v>
      </c>
      <c r="S26" s="2">
        <f>+S20-S25</f>
        <v>58.869999999999948</v>
      </c>
      <c r="T26" s="2">
        <f>+T20-T25</f>
        <v>30.524999999999977</v>
      </c>
      <c r="U26" s="2">
        <f>+U20-U25</f>
        <v>36.996000000000095</v>
      </c>
      <c r="V26" s="2">
        <f t="shared" ref="V26:AB26" si="148">+V20-V25</f>
        <v>88.461999999999989</v>
      </c>
      <c r="W26" s="2">
        <f t="shared" si="148"/>
        <v>120.452</v>
      </c>
      <c r="X26" s="2">
        <f t="shared" si="148"/>
        <v>113.89300000000003</v>
      </c>
      <c r="Y26" s="2">
        <f t="shared" si="148"/>
        <v>160.7530000000001</v>
      </c>
      <c r="Z26" s="2">
        <f t="shared" si="148"/>
        <v>223.89299999999992</v>
      </c>
      <c r="AA26" s="2">
        <f t="shared" si="148"/>
        <v>276.88699999999994</v>
      </c>
      <c r="AB26" s="2">
        <f t="shared" si="148"/>
        <v>-46.692000000000007</v>
      </c>
      <c r="AC26" s="2">
        <f t="shared" ref="AC26" si="149">+AC20-AC25</f>
        <v>-45.930999999999926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>
        <f>+BG20-BG25</f>
        <v>-100.45700000000011</v>
      </c>
      <c r="BH26" s="2">
        <f>+BH20-BH25</f>
        <v>-36.764999999999873</v>
      </c>
      <c r="BI26" s="2">
        <f>+BI20-BI25</f>
        <v>-82.340999999999894</v>
      </c>
      <c r="BJ26" s="2">
        <f>+BJ20-BJ25</f>
        <v>160.94899999999984</v>
      </c>
      <c r="BK26" s="2">
        <f>+BK20-BK25</f>
        <v>185.7360000000001</v>
      </c>
      <c r="BL26" s="2">
        <f>+BL20-BL25</f>
        <v>484.16899999999987</v>
      </c>
      <c r="BM26" s="2">
        <f>+BM20-BM25</f>
        <v>409.71900000000005</v>
      </c>
      <c r="BN26" s="2">
        <f t="shared" ref="BN26:BU26" si="150">+BN20-BN25</f>
        <v>417.9203332000011</v>
      </c>
      <c r="BO26" s="2">
        <f t="shared" si="150"/>
        <v>449.21415113200055</v>
      </c>
      <c r="BP26" s="2">
        <f t="shared" si="150"/>
        <v>481.7334966953199</v>
      </c>
      <c r="BQ26" s="2">
        <f t="shared" si="150"/>
        <v>515.51247252371377</v>
      </c>
      <c r="BR26" s="2">
        <f t="shared" si="150"/>
        <v>550.58552223125571</v>
      </c>
      <c r="BS26" s="2">
        <f t="shared" si="150"/>
        <v>586.98738730070545</v>
      </c>
      <c r="BT26" s="2">
        <f t="shared" si="150"/>
        <v>624.75305929746128</v>
      </c>
      <c r="BU26" s="2">
        <f t="shared" si="150"/>
        <v>663.91772707238533</v>
      </c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GJ26" s="1" t="s">
        <v>58</v>
      </c>
    </row>
    <row r="27" spans="2:192" x14ac:dyDescent="0.25">
      <c r="B27" s="1" t="s">
        <v>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v>1.82</v>
      </c>
      <c r="O27" s="2">
        <v>2.5049999999999999</v>
      </c>
      <c r="P27" s="2">
        <v>4.9989999999999997</v>
      </c>
      <c r="Q27" s="2">
        <f t="shared" ref="Q27:Q31" si="151">+SUM(BJ27)-SUM(N27:P27)</f>
        <v>8.7099999999999991</v>
      </c>
      <c r="R27" s="2">
        <v>11.943</v>
      </c>
      <c r="S27" s="2">
        <v>12.612</v>
      </c>
      <c r="T27" s="2">
        <v>15.74</v>
      </c>
      <c r="U27" s="2">
        <f t="shared" ref="U27:U31" si="152">+SUM(BK27)-SUM(R27:T27)</f>
        <v>18.043999999999997</v>
      </c>
      <c r="V27" s="2">
        <v>19.364999999999998</v>
      </c>
      <c r="W27" s="2">
        <v>19.785</v>
      </c>
      <c r="X27" s="2">
        <v>18.053000000000001</v>
      </c>
      <c r="Y27" s="2">
        <f t="shared" ref="Y27:Y31" si="153">+SUM(BL27)-SUM(V27:X27)</f>
        <v>17.679999999999993</v>
      </c>
      <c r="Z27" s="2">
        <v>19.013000000000002</v>
      </c>
      <c r="AA27" s="2">
        <v>18.827000000000002</v>
      </c>
      <c r="AB27" s="2">
        <v>17.853999999999999</v>
      </c>
      <c r="AC27" s="2">
        <v>19.21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>
        <v>22.748000000000001</v>
      </c>
      <c r="BH27" s="2">
        <v>16.61</v>
      </c>
      <c r="BI27" s="2">
        <v>10.481999999999999</v>
      </c>
      <c r="BJ27" s="2">
        <v>18.033999999999999</v>
      </c>
      <c r="BK27" s="2">
        <v>58.338999999999999</v>
      </c>
      <c r="BL27" s="2">
        <v>74.882999999999996</v>
      </c>
      <c r="BM27" s="2">
        <v>74.903999999999996</v>
      </c>
      <c r="BN27" s="2">
        <f>+BM27*1.01</f>
        <v>75.65303999999999</v>
      </c>
      <c r="BO27" s="2">
        <f t="shared" ref="BO27:BU27" si="154">+BN27*1.01</f>
        <v>76.409570399999993</v>
      </c>
      <c r="BP27" s="2">
        <f t="shared" si="154"/>
        <v>77.173666103999992</v>
      </c>
      <c r="BQ27" s="2">
        <f t="shared" si="154"/>
        <v>77.945402765039987</v>
      </c>
      <c r="BR27" s="2">
        <f t="shared" si="154"/>
        <v>78.724856792690389</v>
      </c>
      <c r="BS27" s="2">
        <f t="shared" si="154"/>
        <v>79.512105360617298</v>
      </c>
      <c r="BT27" s="2">
        <f t="shared" si="154"/>
        <v>80.307226414223464</v>
      </c>
      <c r="BU27" s="2">
        <f t="shared" si="154"/>
        <v>81.110298678365695</v>
      </c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GJ27" s="1" t="s">
        <v>58</v>
      </c>
    </row>
    <row r="28" spans="2:192" x14ac:dyDescent="0.25">
      <c r="B28" s="1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v>-3.806</v>
      </c>
      <c r="O28" s="2">
        <v>-3.859</v>
      </c>
      <c r="P28" s="2">
        <v>-4.6790000000000003</v>
      </c>
      <c r="Q28" s="2">
        <f t="shared" si="151"/>
        <v>-3.6259999999999994</v>
      </c>
      <c r="R28" s="2">
        <v>-3.7029999999999998</v>
      </c>
      <c r="S28" s="2">
        <v>-3.7549999999999999</v>
      </c>
      <c r="T28" s="2">
        <v>-3.7789999999999999</v>
      </c>
      <c r="U28" s="2">
        <f t="shared" si="152"/>
        <v>-6.0980000000000008</v>
      </c>
      <c r="V28" s="2">
        <v>-3.5470000000000002</v>
      </c>
      <c r="W28" s="2">
        <v>-3.5739999999999998</v>
      </c>
      <c r="X28" s="2">
        <v>-2.968</v>
      </c>
      <c r="Y28" s="2">
        <f t="shared" si="153"/>
        <v>-2.577</v>
      </c>
      <c r="Z28" s="2">
        <v>-2.863</v>
      </c>
      <c r="AA28" s="2">
        <v>-2.6789999999999998</v>
      </c>
      <c r="AB28" s="2">
        <v>-2.5790000000000002</v>
      </c>
      <c r="AC28" s="2">
        <v>-2.778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>
        <v>-23.46</v>
      </c>
      <c r="BH28" s="2">
        <v>-29.309000000000001</v>
      </c>
      <c r="BI28" s="2">
        <v>-15.337</v>
      </c>
      <c r="BJ28" s="2">
        <v>-15.97</v>
      </c>
      <c r="BK28" s="2">
        <v>-17.335000000000001</v>
      </c>
      <c r="BL28" s="2">
        <v>-12.666</v>
      </c>
      <c r="BM28" s="2">
        <v>-10.898999999999999</v>
      </c>
      <c r="BN28" s="2">
        <f t="shared" ref="BN28:BU29" si="155">+BM28*1.01</f>
        <v>-11.007989999999999</v>
      </c>
      <c r="BO28" s="2">
        <f t="shared" si="155"/>
        <v>-11.1180699</v>
      </c>
      <c r="BP28" s="2">
        <f t="shared" si="155"/>
        <v>-11.229250599</v>
      </c>
      <c r="BQ28" s="2">
        <f t="shared" si="155"/>
        <v>-11.34154310499</v>
      </c>
      <c r="BR28" s="2">
        <f t="shared" si="155"/>
        <v>-11.4549585360399</v>
      </c>
      <c r="BS28" s="2">
        <f t="shared" si="155"/>
        <v>-11.569508121400299</v>
      </c>
      <c r="BT28" s="2">
        <f t="shared" si="155"/>
        <v>-11.685203202614302</v>
      </c>
      <c r="BU28" s="2">
        <f t="shared" si="155"/>
        <v>-11.802055234640445</v>
      </c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GJ28" s="1" t="s">
        <v>58</v>
      </c>
    </row>
    <row r="29" spans="2:192" x14ac:dyDescent="0.25">
      <c r="B29" s="1" t="s">
        <v>55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v>-1.1539999999999999</v>
      </c>
      <c r="O29" s="2">
        <v>-2.9470000000000001</v>
      </c>
      <c r="P29" s="2">
        <v>0.193</v>
      </c>
      <c r="Q29" s="2">
        <f t="shared" si="151"/>
        <v>-9.5540000000000003</v>
      </c>
      <c r="R29" s="2">
        <v>-10.83</v>
      </c>
      <c r="S29" s="2">
        <v>3.0830000000000002</v>
      </c>
      <c r="T29" s="2">
        <v>-0.81699999999999995</v>
      </c>
      <c r="U29" s="2">
        <f t="shared" si="152"/>
        <v>-29.651000000000003</v>
      </c>
      <c r="V29" s="2">
        <v>1.2669999999999999</v>
      </c>
      <c r="W29" s="2">
        <v>-4.5270000000000001</v>
      </c>
      <c r="X29" s="2">
        <v>5.4630000000000001</v>
      </c>
      <c r="Y29" s="2">
        <f t="shared" si="153"/>
        <v>-6.8710000000000004</v>
      </c>
      <c r="Z29" s="2">
        <v>-1.954</v>
      </c>
      <c r="AA29" s="2">
        <v>4.8330000000000002</v>
      </c>
      <c r="AB29" s="2">
        <v>5.093</v>
      </c>
      <c r="AC29" s="2">
        <v>1.0249999999999999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>
        <v>6.3579999999999997</v>
      </c>
      <c r="BH29" s="2">
        <v>7.1420000000000003</v>
      </c>
      <c r="BI29" s="2">
        <v>11.846</v>
      </c>
      <c r="BJ29" s="2">
        <v>-13.462</v>
      </c>
      <c r="BK29" s="2">
        <v>-38.215000000000003</v>
      </c>
      <c r="BL29" s="2">
        <v>-4.6680000000000001</v>
      </c>
      <c r="BM29" s="2">
        <v>8.9969999999999999</v>
      </c>
      <c r="BN29" s="2">
        <f t="shared" si="155"/>
        <v>9.0869699999999991</v>
      </c>
      <c r="BO29" s="2">
        <f t="shared" si="155"/>
        <v>9.1778396999999998</v>
      </c>
      <c r="BP29" s="2">
        <f t="shared" si="155"/>
        <v>9.2696180970000004</v>
      </c>
      <c r="BQ29" s="2">
        <f t="shared" si="155"/>
        <v>9.3623142779700004</v>
      </c>
      <c r="BR29" s="2">
        <f t="shared" si="155"/>
        <v>9.4559374207497005</v>
      </c>
      <c r="BS29" s="2">
        <f t="shared" si="155"/>
        <v>9.5504967949571977</v>
      </c>
      <c r="BT29" s="2">
        <f t="shared" si="155"/>
        <v>9.6460017629067689</v>
      </c>
      <c r="BU29" s="2">
        <f t="shared" si="155"/>
        <v>9.7424617805358373</v>
      </c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GJ29" s="1" t="s">
        <v>58</v>
      </c>
    </row>
    <row r="30" spans="2:192" x14ac:dyDescent="0.25">
      <c r="B30" s="1" t="s">
        <v>51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f>+SUM(N26:N29)</f>
        <v>134.18699999999981</v>
      </c>
      <c r="O30" s="2">
        <f>+SUM(O26:O29)</f>
        <v>34.851000000000042</v>
      </c>
      <c r="P30" s="2">
        <f>+SUM(P26:P29)</f>
        <v>-1.9039999999999737</v>
      </c>
      <c r="Q30" s="2">
        <f>+SUM(Q26:Q29)</f>
        <v>-49.702000000000027</v>
      </c>
      <c r="R30" s="2">
        <f>+SUM(R26:R29)</f>
        <v>56.755000000000024</v>
      </c>
      <c r="S30" s="2">
        <f>+SUM(S26:S29)</f>
        <v>70.809999999999945</v>
      </c>
      <c r="T30" s="2">
        <f>+SUM(T26:T29)</f>
        <v>41.668999999999976</v>
      </c>
      <c r="U30" s="2">
        <f>+SUM(U26:U29)</f>
        <v>19.291000000000089</v>
      </c>
      <c r="V30" s="2">
        <f t="shared" ref="V30:AC30" si="156">+SUM(V26:V29)</f>
        <v>105.54699999999998</v>
      </c>
      <c r="W30" s="2">
        <f t="shared" si="156"/>
        <v>132.136</v>
      </c>
      <c r="X30" s="2">
        <f t="shared" si="156"/>
        <v>134.44100000000003</v>
      </c>
      <c r="Y30" s="2">
        <f t="shared" si="156"/>
        <v>168.9850000000001</v>
      </c>
      <c r="Z30" s="2">
        <f t="shared" si="156"/>
        <v>238.08899999999991</v>
      </c>
      <c r="AA30" s="2">
        <f t="shared" si="156"/>
        <v>297.86799999999999</v>
      </c>
      <c r="AB30" s="2">
        <f t="shared" si="156"/>
        <v>-26.324000000000009</v>
      </c>
      <c r="AC30" s="2">
        <f t="shared" si="156"/>
        <v>-28.473999999999926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>
        <f>+SUM(BG26:BG29)</f>
        <v>-94.811000000000092</v>
      </c>
      <c r="BH30" s="2">
        <f>+SUM(BH26:BH29)</f>
        <v>-42.321999999999868</v>
      </c>
      <c r="BI30" s="2">
        <f>+SUM(BI26:BI29)</f>
        <v>-75.349999999999895</v>
      </c>
      <c r="BJ30" s="2">
        <f>+SUM(BJ26:BJ29)</f>
        <v>149.55099999999985</v>
      </c>
      <c r="BK30" s="2">
        <f>+SUM(BK26:BK29)</f>
        <v>188.52500000000009</v>
      </c>
      <c r="BL30" s="2">
        <f>+SUM(BL26:BL29)</f>
        <v>541.71799999999985</v>
      </c>
      <c r="BM30" s="2">
        <f>+SUM(BM26:BM29)</f>
        <v>482.72100000000006</v>
      </c>
      <c r="BN30" s="2">
        <f t="shared" ref="BN30:BU30" si="157">+SUM(BN26:BN29)</f>
        <v>491.65235320000107</v>
      </c>
      <c r="BO30" s="2">
        <f t="shared" si="157"/>
        <v>523.68349133200059</v>
      </c>
      <c r="BP30" s="2">
        <f t="shared" si="157"/>
        <v>556.94753029731987</v>
      </c>
      <c r="BQ30" s="2">
        <f t="shared" si="157"/>
        <v>591.47864646173366</v>
      </c>
      <c r="BR30" s="2">
        <f t="shared" si="157"/>
        <v>627.31135790865585</v>
      </c>
      <c r="BS30" s="2">
        <f t="shared" si="157"/>
        <v>664.48048133487964</v>
      </c>
      <c r="BT30" s="2">
        <f t="shared" si="157"/>
        <v>703.0210842719772</v>
      </c>
      <c r="BU30" s="2">
        <f t="shared" si="157"/>
        <v>742.96843229664637</v>
      </c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GJ30" s="1" t="s">
        <v>58</v>
      </c>
    </row>
    <row r="31" spans="2:192" x14ac:dyDescent="0.25">
      <c r="B31" s="1" t="s">
        <v>43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13.388999999999999</v>
      </c>
      <c r="O31" s="2">
        <v>7.1870000000000003</v>
      </c>
      <c r="P31" s="2">
        <v>4.7480000000000002</v>
      </c>
      <c r="Q31" s="2">
        <f t="shared" si="151"/>
        <v>-17.309000000000001</v>
      </c>
      <c r="R31" s="2">
        <v>5.9050000000000002</v>
      </c>
      <c r="S31" s="2">
        <v>14.77</v>
      </c>
      <c r="T31" s="2">
        <v>1.2909999999999999</v>
      </c>
      <c r="U31" s="2">
        <f t="shared" si="152"/>
        <v>-1.0480000000000018</v>
      </c>
      <c r="V31" s="2">
        <v>16.885000000000002</v>
      </c>
      <c r="W31" s="2">
        <v>24.962</v>
      </c>
      <c r="X31" s="2">
        <v>28.361000000000001</v>
      </c>
      <c r="Y31" s="2">
        <f t="shared" si="153"/>
        <v>44.695999999999998</v>
      </c>
      <c r="Z31" s="2">
        <v>52.402999999999999</v>
      </c>
      <c r="AA31" s="2">
        <v>57.335999999999999</v>
      </c>
      <c r="AB31" s="2">
        <v>4.42</v>
      </c>
      <c r="AC31" s="2">
        <v>19.420000000000002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>
        <v>-70.962999999999994</v>
      </c>
      <c r="BH31" s="2">
        <v>-901.42200000000003</v>
      </c>
      <c r="BI31" s="2">
        <v>-11.27</v>
      </c>
      <c r="BJ31" s="2">
        <v>8.0150000000000006</v>
      </c>
      <c r="BK31" s="2">
        <v>20.917999999999999</v>
      </c>
      <c r="BL31" s="2">
        <v>114.904</v>
      </c>
      <c r="BM31" s="2">
        <v>133.57900000000001</v>
      </c>
      <c r="BN31" s="2">
        <f t="shared" ref="BN31:BU31" si="158">+BN30*BN38</f>
        <v>73.747852980000161</v>
      </c>
      <c r="BO31" s="2">
        <f t="shared" si="158"/>
        <v>78.552523699800091</v>
      </c>
      <c r="BP31" s="2">
        <f t="shared" si="158"/>
        <v>83.542129544597984</v>
      </c>
      <c r="BQ31" s="2">
        <f t="shared" si="158"/>
        <v>88.721796969260041</v>
      </c>
      <c r="BR31" s="2">
        <f t="shared" si="158"/>
        <v>94.096703686298369</v>
      </c>
      <c r="BS31" s="2">
        <f t="shared" si="158"/>
        <v>99.672072200231938</v>
      </c>
      <c r="BT31" s="2">
        <f t="shared" si="158"/>
        <v>105.45316264079658</v>
      </c>
      <c r="BU31" s="2">
        <f t="shared" si="158"/>
        <v>111.44526484449695</v>
      </c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GJ31" s="1" t="s">
        <v>58</v>
      </c>
    </row>
    <row r="32" spans="2:192" x14ac:dyDescent="0.25">
      <c r="B32" s="1" t="s">
        <v>52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f>+N30-N31</f>
        <v>120.79799999999982</v>
      </c>
      <c r="O32" s="2">
        <f>+O30-O31</f>
        <v>27.664000000000041</v>
      </c>
      <c r="P32" s="2">
        <f>+P30-P31</f>
        <v>-6.6519999999999744</v>
      </c>
      <c r="Q32" s="2">
        <f>+Q30-Q31</f>
        <v>-32.393000000000029</v>
      </c>
      <c r="R32" s="2">
        <f>+R30-R31</f>
        <v>50.850000000000023</v>
      </c>
      <c r="S32" s="2">
        <f>+S30-S31</f>
        <v>56.039999999999949</v>
      </c>
      <c r="T32" s="2">
        <f>+T30-T31</f>
        <v>40.377999999999979</v>
      </c>
      <c r="U32" s="2">
        <f>+U30-U31</f>
        <v>20.339000000000091</v>
      </c>
      <c r="V32" s="2">
        <f t="shared" ref="V32:AC32" si="159">+V30-V31</f>
        <v>88.661999999999978</v>
      </c>
      <c r="W32" s="2">
        <f t="shared" si="159"/>
        <v>107.17399999999999</v>
      </c>
      <c r="X32" s="2">
        <f t="shared" si="159"/>
        <v>106.08000000000003</v>
      </c>
      <c r="Y32" s="2">
        <f t="shared" si="159"/>
        <v>124.2890000000001</v>
      </c>
      <c r="Z32" s="2">
        <f t="shared" si="159"/>
        <v>185.68599999999992</v>
      </c>
      <c r="AA32" s="2">
        <f t="shared" si="159"/>
        <v>240.53199999999998</v>
      </c>
      <c r="AB32" s="2">
        <f t="shared" si="159"/>
        <v>-30.744000000000007</v>
      </c>
      <c r="AC32" s="2">
        <f t="shared" si="159"/>
        <v>-47.893999999999927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>
        <f>+BG30-BG31</f>
        <v>-23.848000000000098</v>
      </c>
      <c r="BH32" s="2">
        <f>+BH30-BH31</f>
        <v>859.10000000000014</v>
      </c>
      <c r="BI32" s="2">
        <f>+BI30-BI31</f>
        <v>-64.079999999999899</v>
      </c>
      <c r="BJ32" s="2">
        <f>+BJ30-BJ31</f>
        <v>141.53599999999983</v>
      </c>
      <c r="BK32" s="2">
        <f>+BK30-BK31</f>
        <v>167.60700000000008</v>
      </c>
      <c r="BL32" s="2">
        <f>+BL30-BL31</f>
        <v>426.81399999999985</v>
      </c>
      <c r="BM32" s="2">
        <f>+BM30-BM31</f>
        <v>349.14200000000005</v>
      </c>
      <c r="BN32" s="2">
        <f t="shared" ref="BN32:BU32" si="160">+BN30-BN31</f>
        <v>417.9045002200009</v>
      </c>
      <c r="BO32" s="2">
        <f t="shared" si="160"/>
        <v>445.13096763220051</v>
      </c>
      <c r="BP32" s="2">
        <f t="shared" si="160"/>
        <v>473.4054007527219</v>
      </c>
      <c r="BQ32" s="2">
        <f t="shared" si="160"/>
        <v>502.75684949247363</v>
      </c>
      <c r="BR32" s="2">
        <f t="shared" si="160"/>
        <v>533.21465422235747</v>
      </c>
      <c r="BS32" s="2">
        <f t="shared" si="160"/>
        <v>564.80840913464772</v>
      </c>
      <c r="BT32" s="2">
        <f t="shared" si="160"/>
        <v>597.56792163118064</v>
      </c>
      <c r="BU32" s="2">
        <f t="shared" si="160"/>
        <v>631.52316745214944</v>
      </c>
      <c r="BV32" s="2">
        <f>+BU32*(1++$BZ$37)</f>
        <v>637.83839912667099</v>
      </c>
      <c r="BW32" s="2">
        <f t="shared" ref="BW32:EH32" si="161">+BV32*(1++$BZ$37)</f>
        <v>644.21678311793767</v>
      </c>
      <c r="BX32" s="2">
        <f t="shared" si="161"/>
        <v>650.65895094911707</v>
      </c>
      <c r="BY32" s="2">
        <f t="shared" si="161"/>
        <v>657.16554045860823</v>
      </c>
      <c r="BZ32" s="2">
        <f t="shared" si="161"/>
        <v>663.7371958631943</v>
      </c>
      <c r="CA32" s="2">
        <f t="shared" si="161"/>
        <v>670.3745678218263</v>
      </c>
      <c r="CB32" s="2">
        <f t="shared" si="161"/>
        <v>677.0783135000446</v>
      </c>
      <c r="CC32" s="2">
        <f t="shared" si="161"/>
        <v>683.84909663504504</v>
      </c>
      <c r="CD32" s="2">
        <f t="shared" si="161"/>
        <v>690.68758760139553</v>
      </c>
      <c r="CE32" s="2">
        <f t="shared" si="161"/>
        <v>697.59446347740948</v>
      </c>
      <c r="CF32" s="2">
        <f t="shared" si="161"/>
        <v>704.5704081121836</v>
      </c>
      <c r="CG32" s="2">
        <f t="shared" si="161"/>
        <v>711.61611219330541</v>
      </c>
      <c r="CH32" s="2">
        <f t="shared" si="161"/>
        <v>718.73227331523844</v>
      </c>
      <c r="CI32" s="2">
        <f t="shared" si="161"/>
        <v>725.91959604839087</v>
      </c>
      <c r="CJ32" s="2">
        <f t="shared" si="161"/>
        <v>733.17879200887478</v>
      </c>
      <c r="CK32" s="2">
        <f t="shared" si="161"/>
        <v>740.51057992896358</v>
      </c>
      <c r="CL32" s="2">
        <f t="shared" si="161"/>
        <v>747.91568572825327</v>
      </c>
      <c r="CM32" s="2">
        <f t="shared" si="161"/>
        <v>755.3948425855358</v>
      </c>
      <c r="CN32" s="2">
        <f t="shared" si="161"/>
        <v>762.94879101139111</v>
      </c>
      <c r="CO32" s="2">
        <f t="shared" si="161"/>
        <v>770.57827892150499</v>
      </c>
      <c r="CP32" s="2">
        <f t="shared" si="161"/>
        <v>778.28406171072004</v>
      </c>
      <c r="CQ32" s="2">
        <f t="shared" si="161"/>
        <v>786.06690232782728</v>
      </c>
      <c r="CR32" s="2">
        <f t="shared" si="161"/>
        <v>793.9275713511056</v>
      </c>
      <c r="CS32" s="2">
        <f t="shared" si="161"/>
        <v>801.86684706461665</v>
      </c>
      <c r="CT32" s="2">
        <f t="shared" si="161"/>
        <v>809.88551553526281</v>
      </c>
      <c r="CU32" s="2">
        <f t="shared" si="161"/>
        <v>817.98437069061549</v>
      </c>
      <c r="CV32" s="2">
        <f t="shared" si="161"/>
        <v>826.16421439752162</v>
      </c>
      <c r="CW32" s="2">
        <f t="shared" si="161"/>
        <v>834.42585654149684</v>
      </c>
      <c r="CX32" s="2">
        <f t="shared" si="161"/>
        <v>842.77011510691182</v>
      </c>
      <c r="CY32" s="2">
        <f t="shared" si="161"/>
        <v>851.19781625798089</v>
      </c>
      <c r="CZ32" s="2">
        <f t="shared" si="161"/>
        <v>859.70979442056068</v>
      </c>
      <c r="DA32" s="2">
        <f t="shared" si="161"/>
        <v>868.30689236476633</v>
      </c>
      <c r="DB32" s="2">
        <f t="shared" si="161"/>
        <v>876.98996128841395</v>
      </c>
      <c r="DC32" s="2">
        <f t="shared" si="161"/>
        <v>885.75986090129811</v>
      </c>
      <c r="DD32" s="2">
        <f t="shared" si="161"/>
        <v>894.61745951031105</v>
      </c>
      <c r="DE32" s="2">
        <f t="shared" si="161"/>
        <v>903.56363410541417</v>
      </c>
      <c r="DF32" s="2">
        <f t="shared" si="161"/>
        <v>912.59927044646827</v>
      </c>
      <c r="DG32" s="2">
        <f t="shared" si="161"/>
        <v>921.72526315093296</v>
      </c>
      <c r="DH32" s="2">
        <f t="shared" si="161"/>
        <v>930.94251578244234</v>
      </c>
      <c r="DI32" s="2">
        <f t="shared" si="161"/>
        <v>940.25194094026676</v>
      </c>
      <c r="DJ32" s="2">
        <f t="shared" si="161"/>
        <v>949.65446034966942</v>
      </c>
      <c r="DK32" s="2">
        <f t="shared" si="161"/>
        <v>959.15100495316608</v>
      </c>
      <c r="DL32" s="2">
        <f t="shared" si="161"/>
        <v>968.7425150026977</v>
      </c>
      <c r="DM32" s="2">
        <f t="shared" si="161"/>
        <v>978.42994015272473</v>
      </c>
      <c r="DN32" s="2">
        <f t="shared" si="161"/>
        <v>988.214239554252</v>
      </c>
      <c r="DO32" s="2">
        <f t="shared" si="161"/>
        <v>998.09638194979448</v>
      </c>
      <c r="DP32" s="2">
        <f t="shared" si="161"/>
        <v>1008.0773457692924</v>
      </c>
      <c r="DQ32" s="2">
        <f t="shared" si="161"/>
        <v>1018.1581192269853</v>
      </c>
      <c r="DR32" s="2">
        <f t="shared" si="161"/>
        <v>1028.3397004192552</v>
      </c>
      <c r="DS32" s="2">
        <f t="shared" si="161"/>
        <v>1038.6230974234477</v>
      </c>
      <c r="DT32" s="2">
        <f t="shared" si="161"/>
        <v>1049.0093283976821</v>
      </c>
      <c r="DU32" s="2">
        <f t="shared" si="161"/>
        <v>1059.499421681659</v>
      </c>
      <c r="DV32" s="2">
        <f t="shared" si="161"/>
        <v>1070.0944158984755</v>
      </c>
      <c r="DW32" s="2">
        <f t="shared" si="161"/>
        <v>1080.7953600574604</v>
      </c>
      <c r="DX32" s="2">
        <f t="shared" si="161"/>
        <v>1091.6033136580349</v>
      </c>
      <c r="DY32" s="2">
        <f t="shared" si="161"/>
        <v>1102.5193467946153</v>
      </c>
      <c r="DZ32" s="2">
        <f t="shared" si="161"/>
        <v>1113.5445402625614</v>
      </c>
      <c r="EA32" s="2">
        <f t="shared" si="161"/>
        <v>1124.6799856651871</v>
      </c>
      <c r="EB32" s="2">
        <f t="shared" si="161"/>
        <v>1135.9267855218391</v>
      </c>
      <c r="EC32" s="2">
        <f t="shared" si="161"/>
        <v>1147.2860533770574</v>
      </c>
      <c r="ED32" s="2">
        <f t="shared" si="161"/>
        <v>1158.7589139108279</v>
      </c>
      <c r="EE32" s="2">
        <f t="shared" si="161"/>
        <v>1170.3465030499362</v>
      </c>
      <c r="EF32" s="2">
        <f t="shared" si="161"/>
        <v>1182.0499680804355</v>
      </c>
      <c r="EG32" s="2">
        <f t="shared" si="161"/>
        <v>1193.87046776124</v>
      </c>
      <c r="EH32" s="2">
        <f t="shared" si="161"/>
        <v>1205.8091724388523</v>
      </c>
      <c r="EI32" s="2">
        <f t="shared" ref="EI32:GI32" si="162">+EH32*(1++$BZ$37)</f>
        <v>1217.8672641632409</v>
      </c>
      <c r="EJ32" s="2">
        <f t="shared" si="162"/>
        <v>1230.0459368048732</v>
      </c>
      <c r="EK32" s="2">
        <f t="shared" si="162"/>
        <v>1242.3463961729219</v>
      </c>
      <c r="EL32" s="2">
        <f t="shared" si="162"/>
        <v>1254.7698601346513</v>
      </c>
      <c r="EM32" s="2">
        <f t="shared" si="162"/>
        <v>1267.3175587359979</v>
      </c>
      <c r="EN32" s="2">
        <f t="shared" si="162"/>
        <v>1279.9907343233579</v>
      </c>
      <c r="EO32" s="2">
        <f t="shared" si="162"/>
        <v>1292.7906416665915</v>
      </c>
      <c r="EP32" s="2">
        <f t="shared" si="162"/>
        <v>1305.7185480832575</v>
      </c>
      <c r="EQ32" s="2">
        <f t="shared" si="162"/>
        <v>1318.7757335640902</v>
      </c>
      <c r="ER32" s="2">
        <f t="shared" si="162"/>
        <v>1331.9634908997311</v>
      </c>
      <c r="ES32" s="2">
        <f t="shared" si="162"/>
        <v>1345.2831258087285</v>
      </c>
      <c r="ET32" s="2">
        <f t="shared" si="162"/>
        <v>1358.7359570668159</v>
      </c>
      <c r="EU32" s="2">
        <f t="shared" si="162"/>
        <v>1372.3233166374841</v>
      </c>
      <c r="EV32" s="2">
        <f t="shared" si="162"/>
        <v>1386.0465498038591</v>
      </c>
      <c r="EW32" s="2">
        <f t="shared" si="162"/>
        <v>1399.9070153018977</v>
      </c>
      <c r="EX32" s="2">
        <f t="shared" si="162"/>
        <v>1413.9060854549166</v>
      </c>
      <c r="EY32" s="2">
        <f t="shared" si="162"/>
        <v>1428.0451463094657</v>
      </c>
      <c r="EZ32" s="2">
        <f t="shared" si="162"/>
        <v>1442.3255977725605</v>
      </c>
      <c r="FA32" s="2">
        <f t="shared" si="162"/>
        <v>1456.7488537502861</v>
      </c>
      <c r="FB32" s="2">
        <f t="shared" si="162"/>
        <v>1471.316342287789</v>
      </c>
      <c r="FC32" s="2">
        <f t="shared" si="162"/>
        <v>1486.0295057106669</v>
      </c>
      <c r="FD32" s="2">
        <f t="shared" si="162"/>
        <v>1500.8898007677735</v>
      </c>
      <c r="FE32" s="2">
        <f t="shared" si="162"/>
        <v>1515.8986987754513</v>
      </c>
      <c r="FF32" s="2">
        <f t="shared" si="162"/>
        <v>1531.0576857632059</v>
      </c>
      <c r="FG32" s="2">
        <f t="shared" si="162"/>
        <v>1546.3682626208379</v>
      </c>
      <c r="FH32" s="2">
        <f t="shared" si="162"/>
        <v>1561.8319452470462</v>
      </c>
      <c r="FI32" s="2">
        <f t="shared" si="162"/>
        <v>1577.4502646995168</v>
      </c>
      <c r="FJ32" s="2">
        <f t="shared" si="162"/>
        <v>1593.224767346512</v>
      </c>
      <c r="FK32" s="2">
        <f t="shared" si="162"/>
        <v>1609.1570150199771</v>
      </c>
      <c r="FL32" s="2">
        <f t="shared" si="162"/>
        <v>1625.2485851701767</v>
      </c>
      <c r="FM32" s="2">
        <f t="shared" si="162"/>
        <v>1641.5010710218785</v>
      </c>
      <c r="FN32" s="2">
        <f t="shared" si="162"/>
        <v>1657.9160817320974</v>
      </c>
      <c r="FO32" s="2">
        <f t="shared" si="162"/>
        <v>1674.4952425494184</v>
      </c>
      <c r="FP32" s="2">
        <f t="shared" si="162"/>
        <v>1691.2401949749126</v>
      </c>
      <c r="FQ32" s="2">
        <f t="shared" si="162"/>
        <v>1708.1525969246618</v>
      </c>
      <c r="FR32" s="2">
        <f t="shared" si="162"/>
        <v>1725.2341228939085</v>
      </c>
      <c r="FS32" s="2">
        <f t="shared" si="162"/>
        <v>1742.4864641228476</v>
      </c>
      <c r="FT32" s="2">
        <f t="shared" si="162"/>
        <v>1759.911328764076</v>
      </c>
      <c r="FU32" s="2">
        <f t="shared" si="162"/>
        <v>1777.5104420517168</v>
      </c>
      <c r="FV32" s="2">
        <f t="shared" si="162"/>
        <v>1795.285546472234</v>
      </c>
      <c r="FW32" s="2">
        <f t="shared" si="162"/>
        <v>1813.2384019369565</v>
      </c>
      <c r="FX32" s="2">
        <f t="shared" si="162"/>
        <v>1831.370785956326</v>
      </c>
      <c r="FY32" s="2">
        <f t="shared" si="162"/>
        <v>1849.6844938158893</v>
      </c>
      <c r="FZ32" s="2">
        <f t="shared" si="162"/>
        <v>1868.1813387540481</v>
      </c>
      <c r="GA32" s="2">
        <f t="shared" si="162"/>
        <v>1886.8631521415884</v>
      </c>
      <c r="GB32" s="2">
        <f t="shared" si="162"/>
        <v>1905.7317836630043</v>
      </c>
      <c r="GC32" s="2">
        <f t="shared" si="162"/>
        <v>1924.7891014996344</v>
      </c>
      <c r="GD32" s="2">
        <f t="shared" si="162"/>
        <v>1944.0369925146308</v>
      </c>
      <c r="GE32" s="2">
        <f t="shared" si="162"/>
        <v>1963.4773624397772</v>
      </c>
      <c r="GF32" s="2">
        <f t="shared" si="162"/>
        <v>1983.112136064175</v>
      </c>
      <c r="GG32" s="2">
        <f t="shared" si="162"/>
        <v>2002.9432574248169</v>
      </c>
      <c r="GH32" s="2">
        <f t="shared" si="162"/>
        <v>2022.9726899990651</v>
      </c>
      <c r="GI32" s="2">
        <f t="shared" si="162"/>
        <v>2043.2024168990558</v>
      </c>
      <c r="GJ32" s="1" t="s">
        <v>58</v>
      </c>
    </row>
    <row r="33" spans="2:192" x14ac:dyDescent="0.25">
      <c r="B33" s="1" t="s">
        <v>57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7">
        <f t="shared" ref="N33:O33" si="163">+N32/N34</f>
        <v>0.65654655144301222</v>
      </c>
      <c r="O33" s="7">
        <f t="shared" ref="O33:Q33" si="164">+O32/O34</f>
        <v>0.14933010893152127</v>
      </c>
      <c r="P33" s="7">
        <f t="shared" si="164"/>
        <v>-3.584109656944872E-2</v>
      </c>
      <c r="Q33" s="7">
        <f t="shared" si="164"/>
        <v>-0.17415591397849478</v>
      </c>
      <c r="R33" s="7">
        <f t="shared" ref="R33:X33" si="165">+R32/R34</f>
        <v>0.27241022783887897</v>
      </c>
      <c r="S33" s="7">
        <f t="shared" si="165"/>
        <v>0.29816757826632873</v>
      </c>
      <c r="T33" s="7">
        <f t="shared" si="165"/>
        <v>0.21452669496703297</v>
      </c>
      <c r="U33" s="7">
        <f t="shared" si="165"/>
        <v>0.10761375661375709</v>
      </c>
      <c r="V33" s="7">
        <f t="shared" si="165"/>
        <v>0.46944394438384873</v>
      </c>
      <c r="W33" s="7">
        <f t="shared" si="165"/>
        <v>0.56373544294475941</v>
      </c>
      <c r="X33" s="7">
        <f t="shared" si="165"/>
        <v>0.55705801112225573</v>
      </c>
      <c r="Y33" s="7">
        <f t="shared" ref="Y33:AC33" si="166">+Y32/Y34</f>
        <v>0.65405968625511168</v>
      </c>
      <c r="Z33" s="7">
        <f t="shared" si="166"/>
        <v>0.97234600742536625</v>
      </c>
      <c r="AA33" s="7">
        <f t="shared" si="166"/>
        <v>1.2533779382721837</v>
      </c>
      <c r="AB33" s="7">
        <f t="shared" si="166"/>
        <v>-0.1600983169471755</v>
      </c>
      <c r="AC33" s="7">
        <f t="shared" si="166"/>
        <v>-0.2491559370529324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7">
        <f t="shared" ref="BG33:BM33" si="167">+BG32/BG34</f>
        <v>-0.13320002904395187</v>
      </c>
      <c r="BH33" s="7">
        <f t="shared" si="167"/>
        <v>4.7515541691555505</v>
      </c>
      <c r="BI33" s="7">
        <f t="shared" si="167"/>
        <v>-0.35044735633189628</v>
      </c>
      <c r="BJ33" s="7">
        <f>+BJ32/BJ34</f>
        <v>0.76396100741636264</v>
      </c>
      <c r="BK33" s="7">
        <f t="shared" si="167"/>
        <v>0.89231449045433775</v>
      </c>
      <c r="BL33" s="7">
        <f t="shared" si="167"/>
        <v>2.246070295273829</v>
      </c>
      <c r="BM33" s="7">
        <f t="shared" si="167"/>
        <v>1.8204674977970354</v>
      </c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GJ33" s="1" t="s">
        <v>58</v>
      </c>
    </row>
    <row r="34" spans="2:192" x14ac:dyDescent="0.25">
      <c r="B34" s="1" t="s">
        <v>56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v>183.99</v>
      </c>
      <c r="O34" s="2">
        <v>185.25399999999999</v>
      </c>
      <c r="P34" s="2">
        <v>185.59700000000001</v>
      </c>
      <c r="Q34" s="2">
        <v>186</v>
      </c>
      <c r="R34" s="2">
        <v>186.667</v>
      </c>
      <c r="S34" s="2">
        <v>187.94800000000001</v>
      </c>
      <c r="T34" s="2">
        <v>188.21899999999999</v>
      </c>
      <c r="U34" s="2">
        <v>189</v>
      </c>
      <c r="V34" s="2">
        <v>188.86600000000001</v>
      </c>
      <c r="W34" s="2">
        <v>190.114</v>
      </c>
      <c r="X34" s="2">
        <v>190.429</v>
      </c>
      <c r="Y34" s="2">
        <v>190.02699999999999</v>
      </c>
      <c r="Z34" s="2">
        <v>190.96700000000001</v>
      </c>
      <c r="AA34" s="2">
        <v>191.90700000000001</v>
      </c>
      <c r="AB34" s="2">
        <v>192.03200000000001</v>
      </c>
      <c r="AC34" s="2">
        <v>192.22499999999999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>
        <v>179.03899999999999</v>
      </c>
      <c r="BH34" s="2">
        <v>180.804</v>
      </c>
      <c r="BI34" s="2">
        <v>182.852</v>
      </c>
      <c r="BJ34" s="2">
        <v>185.26599999999999</v>
      </c>
      <c r="BK34" s="2">
        <v>187.834</v>
      </c>
      <c r="BL34" s="2">
        <v>190.02699999999999</v>
      </c>
      <c r="BM34" s="2">
        <v>191.78700000000001</v>
      </c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GJ34" s="1" t="s">
        <v>58</v>
      </c>
    </row>
    <row r="35" spans="2:192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GJ35" s="1" t="s">
        <v>58</v>
      </c>
    </row>
    <row r="36" spans="2:192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GJ36" s="1" t="s">
        <v>58</v>
      </c>
    </row>
    <row r="37" spans="2:192" s="6" customFormat="1" x14ac:dyDescent="0.25">
      <c r="B37" s="6" t="s">
        <v>44</v>
      </c>
      <c r="R37" s="6">
        <f>+R18/N18-1</f>
        <v>0.14836365596822265</v>
      </c>
      <c r="S37" s="6">
        <f>+S18/O18-1</f>
        <v>0.11516903397914557</v>
      </c>
      <c r="T37" s="6">
        <f>+T18/P18-1</f>
        <v>0.15036292109929073</v>
      </c>
      <c r="V37" s="6">
        <f>+V18/R18-1</f>
        <v>8.7892115027673912E-2</v>
      </c>
      <c r="W37" s="6">
        <f>+W18/S18-1</f>
        <v>0.1961345596573012</v>
      </c>
      <c r="X37" s="6">
        <f>+X18/T18-1</f>
        <v>0.28281919532657085</v>
      </c>
      <c r="Z37" s="6">
        <f>+Z18/V18-1</f>
        <v>0.14843881245251045</v>
      </c>
      <c r="AA37" s="6">
        <f>+AA18/W18-1</f>
        <v>0.15923649177210475</v>
      </c>
      <c r="AB37" s="6">
        <f>+AB18/X18-1</f>
        <v>4.0755491189959026E-2</v>
      </c>
      <c r="AC37" s="6">
        <f>+AC18/Y18-1</f>
        <v>0.16953522290630652</v>
      </c>
      <c r="BH37" s="6">
        <f>+BH18/BG18-1</f>
        <v>9.1785560031172997E-2</v>
      </c>
      <c r="BI37" s="6">
        <f>+BI18/BH18-1</f>
        <v>-7.6217914434909551E-3</v>
      </c>
      <c r="BJ37" s="6">
        <f>+BJ18/BI18-1</f>
        <v>0.13526641480819479</v>
      </c>
      <c r="BK37" s="6">
        <f>+BK18/BJ18-1</f>
        <v>0.15418503884038937</v>
      </c>
      <c r="BL37" s="6">
        <f>+BL18/BK18-1</f>
        <v>0.17968095079836699</v>
      </c>
      <c r="BM37" s="6">
        <f>+BM18/BL18-1</f>
        <v>0.12881595868066875</v>
      </c>
      <c r="BN37" s="6">
        <f t="shared" ref="BN37:BU37" si="168">+BN18/BM18-1</f>
        <v>3.9501839829594765E-2</v>
      </c>
      <c r="BO37" s="6">
        <f t="shared" si="168"/>
        <v>3.9515977987886863E-2</v>
      </c>
      <c r="BP37" s="6">
        <f t="shared" si="168"/>
        <v>3.9529721290883391E-2</v>
      </c>
      <c r="BQ37" s="6">
        <f t="shared" si="168"/>
        <v>3.9543080407919762E-2</v>
      </c>
      <c r="BR37" s="6">
        <f t="shared" si="168"/>
        <v>3.9556065740132595E-2</v>
      </c>
      <c r="BS37" s="6">
        <f t="shared" si="168"/>
        <v>3.9568687426063232E-2</v>
      </c>
      <c r="BT37" s="6">
        <f t="shared" si="168"/>
        <v>3.9580955347207514E-2</v>
      </c>
      <c r="BU37" s="6">
        <f t="shared" si="168"/>
        <v>3.9592879133517167E-2</v>
      </c>
      <c r="BY37" s="6" t="s">
        <v>60</v>
      </c>
      <c r="BZ37" s="6">
        <v>0.01</v>
      </c>
      <c r="GJ37" s="1" t="s">
        <v>58</v>
      </c>
    </row>
    <row r="38" spans="2:192" s="6" customFormat="1" x14ac:dyDescent="0.25">
      <c r="B38" s="6" t="s">
        <v>43</v>
      </c>
      <c r="N38" s="6">
        <f>+N31/N30</f>
        <v>9.9778667083994854E-2</v>
      </c>
      <c r="O38" s="6">
        <f>+O31/O30</f>
        <v>0.20622076841410553</v>
      </c>
      <c r="P38" s="6">
        <f>+P31/P30</f>
        <v>-2.4936974789916313</v>
      </c>
      <c r="Q38" s="6">
        <f>+Q31/Q30</f>
        <v>0.34825560339624145</v>
      </c>
      <c r="R38" s="6">
        <f>+R31/R30</f>
        <v>0.10404369659060872</v>
      </c>
      <c r="S38" s="6">
        <f>+S31/S30</f>
        <v>0.2085863578590596</v>
      </c>
      <c r="T38" s="6">
        <f>+T31/T30</f>
        <v>3.09822649931604E-2</v>
      </c>
      <c r="U38" s="6">
        <f>+U31/U30</f>
        <v>-5.4325851433310715E-2</v>
      </c>
      <c r="V38" s="6">
        <f t="shared" ref="V38:AA38" si="169">+V31/V30</f>
        <v>0.15997612438060774</v>
      </c>
      <c r="W38" s="6">
        <f t="shared" si="169"/>
        <v>0.18891142459284374</v>
      </c>
      <c r="X38" s="6">
        <f t="shared" si="169"/>
        <v>0.21095499140887075</v>
      </c>
      <c r="Y38" s="6">
        <f t="shared" si="169"/>
        <v>0.26449684883273644</v>
      </c>
      <c r="Z38" s="6">
        <f t="shared" si="169"/>
        <v>0.22009836657720439</v>
      </c>
      <c r="AA38" s="6">
        <f t="shared" si="169"/>
        <v>0.19248794768152336</v>
      </c>
      <c r="AB38" s="6">
        <f t="shared" ref="AB38:AC38" si="170">+AB31/AB30</f>
        <v>-0.1679076128247986</v>
      </c>
      <c r="AC38" s="6">
        <f t="shared" si="170"/>
        <v>-0.68202570766313309</v>
      </c>
      <c r="BG38" s="6">
        <f>+BG31/BG30</f>
        <v>0.74846800476737851</v>
      </c>
      <c r="BH38" s="6">
        <f>+BH31/BH30</f>
        <v>21.29913520155009</v>
      </c>
      <c r="BI38" s="6">
        <f>+BI31/BI30</f>
        <v>0.149568679495687</v>
      </c>
      <c r="BJ38" s="6">
        <f>+BJ31/BJ30</f>
        <v>5.3593757313558643E-2</v>
      </c>
      <c r="BK38" s="6">
        <f>+BK31/BK30</f>
        <v>0.11095610661715948</v>
      </c>
      <c r="BL38" s="6">
        <f>+BL31/BL30</f>
        <v>0.21211036000280595</v>
      </c>
      <c r="BM38" s="6">
        <f>+BM31/BM30</f>
        <v>0.2767209216089625</v>
      </c>
      <c r="BN38" s="6">
        <v>0.15</v>
      </c>
      <c r="BO38" s="6">
        <v>0.15</v>
      </c>
      <c r="BP38" s="6">
        <v>0.15</v>
      </c>
      <c r="BQ38" s="6">
        <v>0.15</v>
      </c>
      <c r="BR38" s="6">
        <v>0.15</v>
      </c>
      <c r="BS38" s="6">
        <v>0.15</v>
      </c>
      <c r="BT38" s="6">
        <v>0.15</v>
      </c>
      <c r="BU38" s="6">
        <v>0.15</v>
      </c>
      <c r="BY38" s="6" t="s">
        <v>59</v>
      </c>
      <c r="BZ38" s="6">
        <v>7.0000000000000007E-2</v>
      </c>
      <c r="GJ38" s="1" t="s">
        <v>58</v>
      </c>
    </row>
    <row r="39" spans="2:192" s="6" customFormat="1" x14ac:dyDescent="0.25">
      <c r="B39" s="6" t="s">
        <v>40</v>
      </c>
      <c r="N39" s="6">
        <f>+N20/N18</f>
        <v>0.77478969267885978</v>
      </c>
      <c r="O39" s="6">
        <f>+O20/O18</f>
        <v>0.7693397127752446</v>
      </c>
      <c r="P39" s="6">
        <f>+P20/P18</f>
        <v>0.76988348530901718</v>
      </c>
      <c r="Q39" s="6">
        <f>+Q20/Q18</f>
        <v>0.70984222210789993</v>
      </c>
      <c r="R39" s="6">
        <f>+R20/R18</f>
        <v>0.78781649628696893</v>
      </c>
      <c r="S39" s="6">
        <f>+S20/S18</f>
        <v>0.78483558019402799</v>
      </c>
      <c r="T39" s="6">
        <f>+T20/T18</f>
        <v>0.77974434442458573</v>
      </c>
      <c r="U39" s="6">
        <f>+U20/U18</f>
        <v>0.76880732809117092</v>
      </c>
      <c r="V39" s="6">
        <f t="shared" ref="V39:AA39" si="171">+V20/V18</f>
        <v>0.80706899926483389</v>
      </c>
      <c r="W39" s="6">
        <f t="shared" si="171"/>
        <v>0.81677853008795986</v>
      </c>
      <c r="X39" s="6">
        <f t="shared" si="171"/>
        <v>0.74728859924370428</v>
      </c>
      <c r="Y39" s="6">
        <f t="shared" si="171"/>
        <v>0.81766910999532583</v>
      </c>
      <c r="Z39" s="6">
        <f t="shared" si="171"/>
        <v>0.79660602969891758</v>
      </c>
      <c r="AA39" s="6">
        <f t="shared" si="171"/>
        <v>0.81816309470444981</v>
      </c>
      <c r="AB39" s="6">
        <f t="shared" ref="AB39:AC39" si="172">+AB20/AB18</f>
        <v>0.81950902744761522</v>
      </c>
      <c r="AC39" s="6">
        <f t="shared" si="172"/>
        <v>0.68427037574835903</v>
      </c>
      <c r="BG39" s="6">
        <f>+BG20/BG18</f>
        <v>0.78905171685304631</v>
      </c>
      <c r="BH39" s="6">
        <f>+BH20/BH18</f>
        <v>0.71820226772483065</v>
      </c>
      <c r="BI39" s="6">
        <f>+BI20/BI18</f>
        <v>0.74515443257369574</v>
      </c>
      <c r="BJ39" s="6">
        <f>+BJ20/BJ18</f>
        <v>0.76000971367557657</v>
      </c>
      <c r="BK39" s="6">
        <f>+BK20/BK18</f>
        <v>0.78006587334262578</v>
      </c>
      <c r="BL39" s="6">
        <f>+BL20/BL18</f>
        <v>0.79668485249853704</v>
      </c>
      <c r="BM39" s="6">
        <f>+BM20/BM18</f>
        <v>0.77729525493451179</v>
      </c>
      <c r="BN39" s="6">
        <v>0.78</v>
      </c>
      <c r="BO39" s="6">
        <v>0.78</v>
      </c>
      <c r="BP39" s="6">
        <v>0.78</v>
      </c>
      <c r="BQ39" s="6">
        <v>0.78</v>
      </c>
      <c r="BR39" s="6">
        <v>0.78</v>
      </c>
      <c r="BS39" s="6">
        <v>0.78</v>
      </c>
      <c r="BT39" s="6">
        <v>0.78</v>
      </c>
      <c r="BU39" s="6">
        <v>0.78</v>
      </c>
      <c r="BY39" s="6" t="s">
        <v>61</v>
      </c>
      <c r="BZ39" s="2">
        <f>+NPV(BZ38,BN32:GI32)+Main!O10-Main!O11</f>
        <v>10681.54696871231</v>
      </c>
      <c r="GJ39" s="1" t="s">
        <v>58</v>
      </c>
    </row>
    <row r="40" spans="2:192" s="6" customFormat="1" x14ac:dyDescent="0.25">
      <c r="B40" s="6" t="s">
        <v>41</v>
      </c>
      <c r="N40" s="6">
        <f>+N26/N18</f>
        <v>0.26441632858966502</v>
      </c>
      <c r="O40" s="6">
        <f>+O26/O18</f>
        <v>7.3346097212803427E-2</v>
      </c>
      <c r="P40" s="6">
        <f>+P26/P18</f>
        <v>-4.7828805724416893E-3</v>
      </c>
      <c r="Q40" s="6">
        <f>+Q26/Q18</f>
        <v>-8.9498490286786206E-2</v>
      </c>
      <c r="R40" s="6">
        <f>+R26/R18</f>
        <v>9.9503196610402564E-2</v>
      </c>
      <c r="S40" s="6">
        <f>+S26/S18</f>
        <v>9.8895468480954096E-2</v>
      </c>
      <c r="T40" s="6">
        <f>+T26/T18</f>
        <v>5.2508992326204235E-2</v>
      </c>
      <c r="U40" s="6">
        <f>+U26/U18</f>
        <v>5.7254194323174655E-2</v>
      </c>
      <c r="V40" s="6">
        <f t="shared" ref="V40:AA40" si="173">+V26/V18</f>
        <v>0.13634016765485105</v>
      </c>
      <c r="W40" s="6">
        <f t="shared" si="173"/>
        <v>0.16916726706356061</v>
      </c>
      <c r="X40" s="6">
        <f t="shared" si="173"/>
        <v>0.1527248102555851</v>
      </c>
      <c r="Y40" s="6">
        <f t="shared" si="173"/>
        <v>0.21529640706132261</v>
      </c>
      <c r="Z40" s="6">
        <f t="shared" si="173"/>
        <v>0.30046903622784821</v>
      </c>
      <c r="AA40" s="6">
        <f t="shared" si="173"/>
        <v>0.33545389563974259</v>
      </c>
      <c r="AB40" s="6">
        <f t="shared" ref="AB40:AC40" si="174">+AB26/AB18</f>
        <v>-6.0159792200563569E-2</v>
      </c>
      <c r="AC40" s="6">
        <f t="shared" si="174"/>
        <v>-5.259812835816785E-2</v>
      </c>
      <c r="BG40" s="6">
        <f>+BG26/BG18</f>
        <v>-5.8951977878557472E-2</v>
      </c>
      <c r="BH40" s="6">
        <f>+BH26/BH18</f>
        <v>-1.9761294952041233E-2</v>
      </c>
      <c r="BI40" s="6">
        <f>+BI26/BI18</f>
        <v>-4.4598448226835057E-2</v>
      </c>
      <c r="BJ40" s="6">
        <f>+BJ26/BJ18</f>
        <v>7.678813214033868E-2</v>
      </c>
      <c r="BK40" s="6">
        <f>+BK26/BK18</f>
        <v>7.6776174484992521E-2</v>
      </c>
      <c r="BL40" s="6">
        <f>+BL26/BL18</f>
        <v>0.16965348807058481</v>
      </c>
      <c r="BM40" s="6">
        <f>+BM26/BM18</f>
        <v>0.12718291575275323</v>
      </c>
      <c r="BN40" s="6">
        <f t="shared" ref="BN40:BU40" si="175">+BN26/BN18</f>
        <v>0.1247989445276244</v>
      </c>
      <c r="BO40" s="6">
        <f t="shared" si="175"/>
        <v>0.12904455095177145</v>
      </c>
      <c r="BP40" s="6">
        <f t="shared" si="175"/>
        <v>0.13312394419763757</v>
      </c>
      <c r="BQ40" s="6">
        <f t="shared" si="175"/>
        <v>0.13703957916506251</v>
      </c>
      <c r="BR40" s="6">
        <f t="shared" si="175"/>
        <v>0.14079385800200903</v>
      </c>
      <c r="BS40" s="6">
        <f t="shared" si="175"/>
        <v>0.14438913080314084</v>
      </c>
      <c r="BT40" s="6">
        <f t="shared" si="175"/>
        <v>0.14782769631095999</v>
      </c>
      <c r="BU40" s="6">
        <f t="shared" si="175"/>
        <v>0.15111180261851909</v>
      </c>
      <c r="BY40" s="6" t="s">
        <v>62</v>
      </c>
      <c r="BZ40" s="6">
        <f>+BZ39/Main!O9-1</f>
        <v>-4.1932095675209058E-2</v>
      </c>
      <c r="GJ40" s="1" t="s">
        <v>58</v>
      </c>
    </row>
    <row r="41" spans="2:192" s="6" customFormat="1" x14ac:dyDescent="0.25">
      <c r="B41" s="6" t="s">
        <v>42</v>
      </c>
      <c r="N41" s="6">
        <f>+N32/N18</f>
        <v>0.23259055874645446</v>
      </c>
      <c r="O41" s="6">
        <f>+O32/O18</f>
        <v>5.1824847601527245E-2</v>
      </c>
      <c r="P41" s="6">
        <f>+P32/P18</f>
        <v>-1.3163310536980699E-2</v>
      </c>
      <c r="Q41" s="6">
        <f>+Q32/Q18</f>
        <v>-6.4094548016003408E-2</v>
      </c>
      <c r="R41" s="6">
        <f>+R32/R18</f>
        <v>8.5259710972094879E-2</v>
      </c>
      <c r="S41" s="6">
        <f>+S32/S18</f>
        <v>9.4141363235479322E-2</v>
      </c>
      <c r="T41" s="6">
        <f>+T32/T18</f>
        <v>6.9458086556837842E-2</v>
      </c>
      <c r="U41" s="6">
        <f>+U32/U18</f>
        <v>3.1476188191670765E-2</v>
      </c>
      <c r="V41" s="6">
        <f t="shared" ref="V41:AA41" si="176">+V32/V18</f>
        <v>0.13664841338217995</v>
      </c>
      <c r="W41" s="6">
        <f t="shared" si="176"/>
        <v>0.15051915020315182</v>
      </c>
      <c r="X41" s="6">
        <f t="shared" si="176"/>
        <v>0.14224796846085772</v>
      </c>
      <c r="Y41" s="6">
        <f t="shared" si="176"/>
        <v>0.16646019133232182</v>
      </c>
      <c r="Z41" s="6">
        <f t="shared" si="176"/>
        <v>0.24919445208650659</v>
      </c>
      <c r="AA41" s="6">
        <f t="shared" si="176"/>
        <v>0.29140911789292595</v>
      </c>
      <c r="AB41" s="6">
        <f t="shared" ref="AB41:AC41" si="177">+AB32/AB18</f>
        <v>-3.9611767570764296E-2</v>
      </c>
      <c r="AC41" s="6">
        <f t="shared" si="177"/>
        <v>-5.4846068223772422E-2</v>
      </c>
      <c r="BG41" s="6">
        <f>+BG32/BG18</f>
        <v>-1.3994910941475884E-2</v>
      </c>
      <c r="BH41" s="6">
        <f>+BH32/BH18</f>
        <v>0.46176876086763724</v>
      </c>
      <c r="BI41" s="6">
        <f>+BI32/BI18</f>
        <v>-3.470772230572363E-2</v>
      </c>
      <c r="BJ41" s="6">
        <f>+BJ32/BJ18</f>
        <v>6.7526266523028858E-2</v>
      </c>
      <c r="BK41" s="6">
        <f>+BK32/BK18</f>
        <v>6.928233771000851E-2</v>
      </c>
      <c r="BL41" s="6">
        <f>+BL32/BL18</f>
        <v>0.14955621664616814</v>
      </c>
      <c r="BM41" s="6">
        <f>+BM32/BM18</f>
        <v>0.10837890742618178</v>
      </c>
      <c r="BN41" s="6">
        <f t="shared" ref="BN41:BU41" si="178">+BN32/BN18</f>
        <v>0.12479421649925204</v>
      </c>
      <c r="BO41" s="6">
        <f t="shared" si="178"/>
        <v>0.1278715857193593</v>
      </c>
      <c r="BP41" s="6">
        <f t="shared" si="178"/>
        <v>0.1308225286076061</v>
      </c>
      <c r="BQ41" s="6">
        <f t="shared" si="178"/>
        <v>0.13364872966023522</v>
      </c>
      <c r="BR41" s="6">
        <f t="shared" si="178"/>
        <v>0.13635183868790651</v>
      </c>
      <c r="BS41" s="6">
        <f t="shared" si="178"/>
        <v>0.13893347119480523</v>
      </c>
      <c r="BT41" s="6">
        <f t="shared" si="178"/>
        <v>0.14139520876200481</v>
      </c>
      <c r="BU41" s="6">
        <f t="shared" si="178"/>
        <v>0.1437385994343944</v>
      </c>
      <c r="GJ41" s="1" t="s">
        <v>58</v>
      </c>
    </row>
    <row r="42" spans="2:192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GJ42" s="1" t="s">
        <v>58</v>
      </c>
    </row>
    <row r="43" spans="2:192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</row>
    <row r="44" spans="2:192" x14ac:dyDescent="0.25">
      <c r="B44" s="1" t="s">
        <v>52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>
        <f t="shared" ref="V44:AC44" si="179">+V32</f>
        <v>88.661999999999978</v>
      </c>
      <c r="W44" s="2">
        <f t="shared" si="179"/>
        <v>107.17399999999999</v>
      </c>
      <c r="X44" s="2">
        <f t="shared" si="179"/>
        <v>106.08000000000003</v>
      </c>
      <c r="Y44" s="2">
        <f t="shared" si="179"/>
        <v>124.2890000000001</v>
      </c>
      <c r="Z44" s="2">
        <f t="shared" si="179"/>
        <v>185.68599999999992</v>
      </c>
      <c r="AA44" s="2">
        <f t="shared" si="179"/>
        <v>240.53199999999998</v>
      </c>
      <c r="AB44" s="2">
        <f t="shared" si="179"/>
        <v>-30.744000000000007</v>
      </c>
      <c r="AC44" s="2">
        <f t="shared" si="179"/>
        <v>-47.893999999999927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>
        <f>+BJ32</f>
        <v>141.53599999999983</v>
      </c>
      <c r="BK44" s="2">
        <f>+BK32</f>
        <v>167.60700000000008</v>
      </c>
      <c r="BL44" s="2">
        <f>+BL32</f>
        <v>426.81399999999985</v>
      </c>
      <c r="BM44" s="2">
        <f>+BM32</f>
        <v>349.14200000000005</v>
      </c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</row>
    <row r="45" spans="2:192" x14ac:dyDescent="0.25">
      <c r="B45" s="1" t="s">
        <v>63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>
        <v>27.35</v>
      </c>
      <c r="W45" s="2">
        <v>26.463000000000001</v>
      </c>
      <c r="X45" s="2">
        <v>19.006</v>
      </c>
      <c r="Y45" s="2">
        <f t="shared" ref="Y45:Y61" si="180">+SUM(BL45)-SUM(V45:X45)</f>
        <v>23.606999999999999</v>
      </c>
      <c r="Z45" s="2">
        <v>22.068999999999999</v>
      </c>
      <c r="AA45" s="2">
        <v>18.562999999999999</v>
      </c>
      <c r="AB45" s="2">
        <v>18.487000000000002</v>
      </c>
      <c r="AC45" s="2">
        <f>+SUM(BM45)-SUM(Z45:AB45)</f>
        <v>20.438000000000002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>
        <v>101.96899999999999</v>
      </c>
      <c r="BK45" s="2">
        <v>104.386</v>
      </c>
      <c r="BL45" s="2">
        <v>96.426000000000002</v>
      </c>
      <c r="BM45" s="2">
        <v>79.557000000000002</v>
      </c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</row>
    <row r="46" spans="2:192" x14ac:dyDescent="0.25">
      <c r="B46" s="1" t="s">
        <v>64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>
        <v>0.99</v>
      </c>
      <c r="W46" s="2">
        <v>0.9910000000000001</v>
      </c>
      <c r="X46" s="2">
        <v>0.71799999999999975</v>
      </c>
      <c r="Y46" s="2">
        <f t="shared" si="180"/>
        <v>0.66000000000000014</v>
      </c>
      <c r="Z46" s="2">
        <v>0.66</v>
      </c>
      <c r="AA46" s="2">
        <v>0.66</v>
      </c>
      <c r="AB46" s="2">
        <v>0.64900000000000002</v>
      </c>
      <c r="AC46" s="2">
        <f t="shared" ref="AC46:AC61" si="181">+SUM(BM46)-SUM(Z46:AB46)</f>
        <v>0.6529999999999998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>
        <v>4.117</v>
      </c>
      <c r="BK46" s="2">
        <v>4.1879999999999997</v>
      </c>
      <c r="BL46" s="2">
        <v>3.359</v>
      </c>
      <c r="BM46" s="2">
        <v>2.6219999999999999</v>
      </c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</row>
    <row r="47" spans="2:192" x14ac:dyDescent="0.25">
      <c r="B47" s="1" t="s">
        <v>65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>
        <v>-2.5019999999999998</v>
      </c>
      <c r="W47" s="2">
        <v>-2.1760000000000002</v>
      </c>
      <c r="X47" s="2">
        <v>-1.9409999999999998</v>
      </c>
      <c r="Y47" s="2">
        <f t="shared" si="180"/>
        <v>-1.7260000000000009</v>
      </c>
      <c r="Z47" s="2">
        <v>-1.3620000000000001</v>
      </c>
      <c r="AA47" s="2">
        <v>-1.355</v>
      </c>
      <c r="AB47" s="2">
        <v>-0.97799999999999976</v>
      </c>
      <c r="AC47" s="2">
        <f t="shared" si="181"/>
        <v>-1.1060000000000003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>
        <v>3.0430000000000001</v>
      </c>
      <c r="BK47" s="2">
        <v>-9.2279999999999998</v>
      </c>
      <c r="BL47" s="2">
        <v>-8.3450000000000006</v>
      </c>
      <c r="BM47" s="2">
        <v>-4.8010000000000002</v>
      </c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</row>
    <row r="48" spans="2:192" x14ac:dyDescent="0.25">
      <c r="B48" s="1" t="s">
        <v>66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>
        <v>58.249000000000002</v>
      </c>
      <c r="W48" s="2">
        <v>47.913999999999994</v>
      </c>
      <c r="X48" s="2">
        <v>43.48899999999999</v>
      </c>
      <c r="Y48" s="2">
        <f t="shared" si="180"/>
        <v>51.919000000000011</v>
      </c>
      <c r="Z48" s="2">
        <v>37.700000000000003</v>
      </c>
      <c r="AA48" s="2">
        <v>47.530999999999992</v>
      </c>
      <c r="AB48" s="2">
        <v>49.265000000000015</v>
      </c>
      <c r="AC48" s="2">
        <f t="shared" si="181"/>
        <v>46.912999999999982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>
        <v>196.30799999999999</v>
      </c>
      <c r="BK48" s="2">
        <v>207.09899999999999</v>
      </c>
      <c r="BL48" s="2">
        <v>201.571</v>
      </c>
      <c r="BM48" s="2">
        <v>181.40899999999999</v>
      </c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</row>
    <row r="49" spans="2:102" x14ac:dyDescent="0.25">
      <c r="B49" s="1" t="s">
        <v>67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>
        <v>-10</v>
      </c>
      <c r="W49" s="2">
        <v>0</v>
      </c>
      <c r="X49" s="2">
        <v>0</v>
      </c>
      <c r="Y49" s="2">
        <f t="shared" si="180"/>
        <v>0</v>
      </c>
      <c r="Z49" s="2" t="s">
        <v>35</v>
      </c>
      <c r="AA49" s="2">
        <v>0</v>
      </c>
      <c r="AB49" s="2">
        <v>0</v>
      </c>
      <c r="AC49" s="2">
        <f t="shared" si="181"/>
        <v>0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>
        <v>-108</v>
      </c>
      <c r="BK49" s="2" t="s">
        <v>35</v>
      </c>
      <c r="BL49" s="2">
        <v>-10</v>
      </c>
      <c r="BM49" s="2" t="s">
        <v>35</v>
      </c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spans="2:102" x14ac:dyDescent="0.25">
      <c r="B50" s="1" t="s">
        <v>68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 t="s">
        <v>35</v>
      </c>
      <c r="W50" s="2">
        <v>14.204000000000001</v>
      </c>
      <c r="X50" s="2">
        <v>5.6849999999999987</v>
      </c>
      <c r="Y50" s="2">
        <f t="shared" si="180"/>
        <v>0</v>
      </c>
      <c r="Z50" s="2">
        <v>2.9670000000000001</v>
      </c>
      <c r="AA50" s="2">
        <v>0</v>
      </c>
      <c r="AB50" s="2">
        <v>0</v>
      </c>
      <c r="AC50" s="2">
        <f t="shared" si="181"/>
        <v>122.045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 t="s">
        <v>35</v>
      </c>
      <c r="BK50" s="2">
        <v>38.607999999999997</v>
      </c>
      <c r="BL50" s="2">
        <v>19.888999999999999</v>
      </c>
      <c r="BM50" s="2">
        <v>125.012</v>
      </c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</row>
    <row r="51" spans="2:102" x14ac:dyDescent="0.25">
      <c r="B51" s="1" t="s">
        <v>98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220.96299999999999</v>
      </c>
      <c r="AC51" s="2">
        <f t="shared" si="181"/>
        <v>0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 t="s">
        <v>35</v>
      </c>
      <c r="BK51" s="2" t="s">
        <v>35</v>
      </c>
      <c r="BL51" s="2" t="s">
        <v>35</v>
      </c>
      <c r="BM51" s="2">
        <v>220.96299999999999</v>
      </c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</row>
    <row r="52" spans="2:102" x14ac:dyDescent="0.25">
      <c r="B52" s="1" t="s">
        <v>69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>
        <v>0.28499999999999998</v>
      </c>
      <c r="W52" s="2">
        <v>1.252</v>
      </c>
      <c r="X52" s="2">
        <v>12.172000000000001</v>
      </c>
      <c r="Y52" s="2">
        <f t="shared" si="180"/>
        <v>42.387</v>
      </c>
      <c r="Z52" s="2">
        <v>28.428999999999998</v>
      </c>
      <c r="AA52" s="2">
        <v>33.341999999999999</v>
      </c>
      <c r="AB52" s="2">
        <v>-13.646000000000001</v>
      </c>
      <c r="AC52" s="2">
        <f t="shared" si="181"/>
        <v>0.61299999999999955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>
        <v>-52.087000000000003</v>
      </c>
      <c r="BK52" s="2">
        <v>-44.981000000000002</v>
      </c>
      <c r="BL52" s="2">
        <v>56.095999999999997</v>
      </c>
      <c r="BM52" s="2">
        <v>48.738</v>
      </c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</row>
    <row r="53" spans="2:102" x14ac:dyDescent="0.25">
      <c r="B53" s="1" t="s">
        <v>70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>
        <v>-10.804</v>
      </c>
      <c r="W53" s="2">
        <v>-9.1539999999999981</v>
      </c>
      <c r="X53" s="2">
        <v>-2.3940000000000019</v>
      </c>
      <c r="Y53" s="2">
        <f t="shared" si="180"/>
        <v>5.5990000000000002</v>
      </c>
      <c r="Z53" s="2">
        <v>-10.026</v>
      </c>
      <c r="AA53" s="2">
        <v>4.72</v>
      </c>
      <c r="AB53" s="2">
        <v>5.55</v>
      </c>
      <c r="AC53" s="2">
        <f t="shared" si="181"/>
        <v>4.2149999999999999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>
        <v>-14.287000000000001</v>
      </c>
      <c r="BK53" s="2">
        <v>28.446000000000002</v>
      </c>
      <c r="BL53" s="2">
        <v>-16.753</v>
      </c>
      <c r="BM53" s="2">
        <v>4.4589999999999996</v>
      </c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</row>
    <row r="54" spans="2:102" x14ac:dyDescent="0.25">
      <c r="B54" s="1" t="s">
        <v>71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 t="s">
        <v>35</v>
      </c>
      <c r="W54" s="2">
        <v>0</v>
      </c>
      <c r="X54" s="2">
        <v>0</v>
      </c>
      <c r="Y54" s="2">
        <f t="shared" si="180"/>
        <v>0</v>
      </c>
      <c r="Z54" s="2" t="s">
        <v>35</v>
      </c>
      <c r="AA54" s="2">
        <v>0</v>
      </c>
      <c r="AB54" s="2">
        <v>0</v>
      </c>
      <c r="AC54" s="2">
        <f t="shared" si="181"/>
        <v>0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>
        <v>1.704</v>
      </c>
      <c r="BK54" s="2" t="s">
        <v>35</v>
      </c>
      <c r="BL54" s="2" t="s">
        <v>35</v>
      </c>
      <c r="BM54" s="2" t="s">
        <v>35</v>
      </c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</row>
    <row r="55" spans="2:102" x14ac:dyDescent="0.25">
      <c r="B55" s="1" t="s">
        <v>72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>
        <v>0.127</v>
      </c>
      <c r="W55" s="2">
        <v>-0.98499999999999999</v>
      </c>
      <c r="X55" s="2">
        <v>-0.39600000000000002</v>
      </c>
      <c r="Y55" s="2">
        <f t="shared" si="180"/>
        <v>21.389000000000003</v>
      </c>
      <c r="Z55" s="2">
        <v>-1.2669999999999999</v>
      </c>
      <c r="AA55" s="2">
        <v>-0.64900000000000002</v>
      </c>
      <c r="AB55" s="2">
        <v>0.21199999999999997</v>
      </c>
      <c r="AC55" s="2">
        <f t="shared" si="181"/>
        <v>116.49799999999999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>
        <v>-2.0430000000000001</v>
      </c>
      <c r="BK55" s="2">
        <v>-0.36499999999999999</v>
      </c>
      <c r="BL55" s="2">
        <v>20.135000000000002</v>
      </c>
      <c r="BM55" s="2">
        <f>119.208-4.414</f>
        <v>114.794</v>
      </c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</row>
    <row r="56" spans="2:102" x14ac:dyDescent="0.25">
      <c r="B56" s="1" t="s">
        <v>73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>
        <v>-3.3860000000000001</v>
      </c>
      <c r="W56" s="2">
        <v>-52.695</v>
      </c>
      <c r="X56" s="2">
        <v>-74.374999999999986</v>
      </c>
      <c r="Y56" s="2">
        <f t="shared" si="180"/>
        <v>72.546999999999997</v>
      </c>
      <c r="Z56" s="2">
        <v>-57.59</v>
      </c>
      <c r="AA56" s="2">
        <v>-98.533999999999992</v>
      </c>
      <c r="AB56" s="2">
        <v>48.745999999999995</v>
      </c>
      <c r="AC56" s="2">
        <f t="shared" si="181"/>
        <v>-120.676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>
        <v>-82.033000000000001</v>
      </c>
      <c r="BK56" s="2">
        <v>-190.435</v>
      </c>
      <c r="BL56" s="2">
        <v>-57.908999999999999</v>
      </c>
      <c r="BM56" s="2">
        <v>-228.054</v>
      </c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</row>
    <row r="57" spans="2:102" x14ac:dyDescent="0.25">
      <c r="B57" s="1" t="s">
        <v>74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>
        <v>-16.82</v>
      </c>
      <c r="W57" s="2">
        <v>-30.588999999999999</v>
      </c>
      <c r="X57" s="2">
        <v>18.149999999999999</v>
      </c>
      <c r="Y57" s="2">
        <f t="shared" si="180"/>
        <v>-34.274000000000001</v>
      </c>
      <c r="Z57" s="2">
        <v>-24.335000000000001</v>
      </c>
      <c r="AA57" s="2">
        <v>-48.127000000000002</v>
      </c>
      <c r="AB57" s="2">
        <v>-26.334000000000003</v>
      </c>
      <c r="AC57" s="2">
        <f t="shared" si="181"/>
        <v>-18.132999999999996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>
        <v>-68.263999999999996</v>
      </c>
      <c r="BK57" s="2">
        <v>-157.05799999999999</v>
      </c>
      <c r="BL57" s="2">
        <v>-63.533000000000001</v>
      </c>
      <c r="BM57" s="2">
        <v>-116.929</v>
      </c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</row>
    <row r="58" spans="2:102" x14ac:dyDescent="0.25">
      <c r="B58" s="1" t="s">
        <v>75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>
        <v>-17.353000000000002</v>
      </c>
      <c r="W58" s="2">
        <v>18.968</v>
      </c>
      <c r="X58" s="2">
        <v>-21.553999999999998</v>
      </c>
      <c r="Y58" s="2">
        <f t="shared" si="180"/>
        <v>16.161000000000001</v>
      </c>
      <c r="Z58" s="2">
        <v>-6.327</v>
      </c>
      <c r="AA58" s="2">
        <v>-8.7650000000000006</v>
      </c>
      <c r="AB58" s="2">
        <v>-17.033000000000001</v>
      </c>
      <c r="AC58" s="2">
        <f t="shared" si="181"/>
        <v>41.015999999999998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>
        <v>7.8220000000000001</v>
      </c>
      <c r="BK58" s="2">
        <v>-50.335000000000001</v>
      </c>
      <c r="BL58" s="2">
        <v>-3.778</v>
      </c>
      <c r="BM58" s="2">
        <v>8.891</v>
      </c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</row>
    <row r="59" spans="2:102" x14ac:dyDescent="0.25">
      <c r="B59" s="1" t="s">
        <v>76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>
        <v>-12.13</v>
      </c>
      <c r="W59" s="2">
        <v>-10.749999999999998</v>
      </c>
      <c r="X59" s="2">
        <v>-8.9589999999999996</v>
      </c>
      <c r="Y59" s="2">
        <f t="shared" si="180"/>
        <v>-41.861000000000004</v>
      </c>
      <c r="Z59" s="2">
        <v>-1.6240000000000001</v>
      </c>
      <c r="AA59" s="2">
        <v>-11.881</v>
      </c>
      <c r="AB59" s="2">
        <v>-19.173999999999999</v>
      </c>
      <c r="AC59" s="2">
        <f t="shared" si="181"/>
        <v>-5.8939999999999984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>
        <v>-19.859000000000002</v>
      </c>
      <c r="BK59" s="2">
        <v>-31.149000000000001</v>
      </c>
      <c r="BL59" s="2">
        <v>-73.7</v>
      </c>
      <c r="BM59" s="2">
        <v>-38.573</v>
      </c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</row>
    <row r="60" spans="2:102" x14ac:dyDescent="0.25">
      <c r="B60" s="1" t="s">
        <v>77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>
        <v>-59.06</v>
      </c>
      <c r="W60" s="2">
        <v>4.7989999999999995</v>
      </c>
      <c r="X60" s="2">
        <v>122.28</v>
      </c>
      <c r="Y60" s="2">
        <f t="shared" si="180"/>
        <v>-100.25900000000001</v>
      </c>
      <c r="Z60" s="2">
        <v>-2.6549999999999998</v>
      </c>
      <c r="AA60" s="2">
        <v>5.766</v>
      </c>
      <c r="AB60" s="2">
        <v>116.36699999999999</v>
      </c>
      <c r="AC60" s="2">
        <f t="shared" si="181"/>
        <v>-53.341999999999999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>
        <v>59.018000000000001</v>
      </c>
      <c r="BK60" s="2">
        <v>68.852999999999994</v>
      </c>
      <c r="BL60" s="2">
        <v>-32.24</v>
      </c>
      <c r="BM60" s="2">
        <v>66.135999999999996</v>
      </c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</row>
    <row r="61" spans="2:102" x14ac:dyDescent="0.25">
      <c r="B61" s="1" t="s">
        <v>78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>
        <v>3.3090000000000002</v>
      </c>
      <c r="W61" s="2">
        <v>3.3999999999999995</v>
      </c>
      <c r="X61" s="2">
        <v>3.5199999999999996</v>
      </c>
      <c r="Y61" s="2">
        <f t="shared" si="180"/>
        <v>4.532</v>
      </c>
      <c r="Z61" s="2">
        <v>2.069</v>
      </c>
      <c r="AA61" s="2">
        <v>3.468</v>
      </c>
      <c r="AB61" s="2">
        <v>16.355</v>
      </c>
      <c r="AC61" s="2">
        <f t="shared" si="181"/>
        <v>-7.0229999999999997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>
        <v>6.9329999999999998</v>
      </c>
      <c r="BK61" s="2">
        <v>23.585000000000001</v>
      </c>
      <c r="BL61" s="2">
        <v>14.760999999999999</v>
      </c>
      <c r="BM61" s="2">
        <v>14.869</v>
      </c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</row>
    <row r="62" spans="2:102" x14ac:dyDescent="0.25">
      <c r="B62" s="1" t="s">
        <v>79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>
        <v>-45.430999999999997</v>
      </c>
      <c r="O62" s="2">
        <f>10.795-N62</f>
        <v>56.225999999999999</v>
      </c>
      <c r="P62" s="2">
        <f>169.116-O62-N62</f>
        <v>158.32100000000003</v>
      </c>
      <c r="Q62" s="2">
        <f t="shared" ref="Q62" si="182">+SUM(BJ62)-SUM(N62:P62)</f>
        <v>6.7609999999997967</v>
      </c>
      <c r="R62" s="2">
        <v>-73.932000000000002</v>
      </c>
      <c r="S62" s="2">
        <f>-3.87-R62</f>
        <v>70.061999999999998</v>
      </c>
      <c r="T62" s="2">
        <f>131.776-S62-R62</f>
        <v>135.64600000000002</v>
      </c>
      <c r="U62" s="2">
        <f>+SUM(BK62)-SUM(R62:T62)</f>
        <v>27.444999999999965</v>
      </c>
      <c r="V62" s="2">
        <f t="shared" ref="V62:AB62" si="183">+SUM(V44:V61)</f>
        <v>46.916999999999973</v>
      </c>
      <c r="W62" s="2">
        <f t="shared" si="183"/>
        <v>118.81600000000003</v>
      </c>
      <c r="X62" s="2">
        <f t="shared" si="183"/>
        <v>221.48100000000005</v>
      </c>
      <c r="Y62" s="2">
        <f t="shared" si="183"/>
        <v>184.97000000000006</v>
      </c>
      <c r="Z62" s="2">
        <f t="shared" si="183"/>
        <v>174.39399999999992</v>
      </c>
      <c r="AA62" s="2">
        <f t="shared" si="183"/>
        <v>185.27099999999999</v>
      </c>
      <c r="AB62" s="2">
        <f t="shared" si="183"/>
        <v>368.68499999999995</v>
      </c>
      <c r="AC62" s="2">
        <f t="shared" ref="AC62" si="184">+SUM(AC44:AC61)</f>
        <v>98.323000000000079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>
        <f>+SUM(BJ44:BJ61)</f>
        <v>175.87699999999984</v>
      </c>
      <c r="BK62" s="2">
        <f>+SUM(BK44:BK61)</f>
        <v>159.22099999999998</v>
      </c>
      <c r="BL62" s="2">
        <f>+SUM(BL44:BL61)</f>
        <v>572.79299999999978</v>
      </c>
      <c r="BM62" s="2">
        <f>+SUM(BM44:BM61)</f>
        <v>828.23500000000001</v>
      </c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</row>
    <row r="63" spans="2:102" x14ac:dyDescent="0.25">
      <c r="B63" s="9" t="s">
        <v>100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2"/>
      <c r="Q63" s="2"/>
      <c r="R63" s="2"/>
      <c r="S63" s="2"/>
      <c r="T63" s="2"/>
      <c r="U63" s="2"/>
      <c r="V63" s="2"/>
      <c r="W63" s="2"/>
      <c r="X63" s="2"/>
      <c r="Y63" s="9"/>
      <c r="Z63" s="9">
        <f>+Z62/V62-1</f>
        <v>2.7170748342818172</v>
      </c>
      <c r="AA63" s="9">
        <f>+AA62/W62-1</f>
        <v>0.55931019391327719</v>
      </c>
      <c r="AB63" s="9">
        <f>+AB62/X62-1</f>
        <v>0.66463488967450868</v>
      </c>
      <c r="AC63" s="9">
        <f>+AC62/Y62-1</f>
        <v>-0.46843812510136751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9">
        <f>+BK62/BJ62-1</f>
        <v>-9.470254780329368E-2</v>
      </c>
      <c r="BL63" s="9">
        <f>+BL62/BK62-1</f>
        <v>2.5974714390689662</v>
      </c>
      <c r="BM63" s="9">
        <f>+BM62/BL62-1</f>
        <v>0.44595866220432212</v>
      </c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</row>
    <row r="64" spans="2:102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</row>
    <row r="65" spans="2:102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</row>
    <row r="66" spans="2:102" x14ac:dyDescent="0.25">
      <c r="B66" s="1" t="s">
        <v>80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>
        <v>-28.817</v>
      </c>
      <c r="O66" s="2">
        <f>-55.971-N66</f>
        <v>-27.153999999999996</v>
      </c>
      <c r="P66" s="2">
        <f>-85.271-O66-N66</f>
        <v>-29.300000000000004</v>
      </c>
      <c r="Q66" s="2">
        <f t="shared" ref="Q66" si="185">+SUM(BJ66)-SUM(N66:P66)</f>
        <v>-35.688000000000002</v>
      </c>
      <c r="R66" s="2">
        <v>-24.456</v>
      </c>
      <c r="S66" s="2">
        <f>-46.039-R66</f>
        <v>-21.583000000000002</v>
      </c>
      <c r="T66" s="2">
        <f>-67.774-S66-R66</f>
        <v>-21.735000000000003</v>
      </c>
      <c r="U66" s="2">
        <f>+SUM(BK66)-SUM(R66:T66)</f>
        <v>-28.917000000000002</v>
      </c>
      <c r="V66" s="2">
        <v>-26.103999999999999</v>
      </c>
      <c r="W66" s="2">
        <v>-21.326999999999998</v>
      </c>
      <c r="X66" s="2">
        <v>-18.463000000000008</v>
      </c>
      <c r="Y66" s="2">
        <f t="shared" ref="Y66:Y72" si="186">+SUM(BL66)-SUM(V66:X66)</f>
        <v>-19.53</v>
      </c>
      <c r="Z66" s="2">
        <v>-16.768000000000001</v>
      </c>
      <c r="AA66" s="2">
        <v>-17.100999999999999</v>
      </c>
      <c r="AB66" s="2">
        <v>-28.447000000000003</v>
      </c>
      <c r="AC66" s="2">
        <f t="shared" ref="AC66:AC72" si="187">+SUM(BM66)-SUM(Z66:AB66)</f>
        <v>-40.721999999999994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>
        <v>-120.959</v>
      </c>
      <c r="BK66" s="2">
        <v>-96.691000000000003</v>
      </c>
      <c r="BL66" s="2">
        <v>-85.424000000000007</v>
      </c>
      <c r="BM66" s="2">
        <v>-103.038</v>
      </c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</row>
    <row r="67" spans="2:102" x14ac:dyDescent="0.25">
      <c r="B67" s="1" t="s">
        <v>81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>
        <v>131.53299999999999</v>
      </c>
      <c r="W67" s="2">
        <v>186.11600000000001</v>
      </c>
      <c r="X67" s="2">
        <v>160.78699999999998</v>
      </c>
      <c r="Y67" s="2">
        <f t="shared" si="186"/>
        <v>154.58200000000005</v>
      </c>
      <c r="Z67" s="2">
        <v>77.804000000000002</v>
      </c>
      <c r="AA67" s="2">
        <v>117.934</v>
      </c>
      <c r="AB67" s="2">
        <v>98.809000000000026</v>
      </c>
      <c r="AC67" s="2">
        <f t="shared" si="187"/>
        <v>43.253999999999962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>
        <v>619.995</v>
      </c>
      <c r="BK67" s="2">
        <v>864.86300000000006</v>
      </c>
      <c r="BL67" s="2">
        <v>633.01800000000003</v>
      </c>
      <c r="BM67" s="2">
        <v>337.80099999999999</v>
      </c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</row>
    <row r="68" spans="2:102" x14ac:dyDescent="0.25">
      <c r="B68" s="1" t="s">
        <v>82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>
        <v>-121.66500000000001</v>
      </c>
      <c r="W68" s="2">
        <v>-73.796999999999983</v>
      </c>
      <c r="X68" s="2">
        <v>-156.90899999999999</v>
      </c>
      <c r="Y68" s="2">
        <f t="shared" si="186"/>
        <v>-57.879000000000019</v>
      </c>
      <c r="Z68" s="2">
        <v>-89.274000000000001</v>
      </c>
      <c r="AA68" s="2">
        <v>-113.15899999999999</v>
      </c>
      <c r="AB68" s="2">
        <v>-110.82900000000001</v>
      </c>
      <c r="AC68" s="2">
        <f t="shared" si="187"/>
        <v>-42.613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>
        <v>-611.80899999999997</v>
      </c>
      <c r="BK68" s="2">
        <v>-868.49599999999998</v>
      </c>
      <c r="BL68" s="2">
        <v>-410.25</v>
      </c>
      <c r="BM68" s="2">
        <v>-355.875</v>
      </c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</row>
    <row r="69" spans="2:102" x14ac:dyDescent="0.25">
      <c r="B69" s="1" t="s">
        <v>67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>
        <v>10</v>
      </c>
      <c r="W69" s="2">
        <v>0</v>
      </c>
      <c r="X69" s="2">
        <v>0</v>
      </c>
      <c r="Y69" s="2">
        <f t="shared" si="186"/>
        <v>0</v>
      </c>
      <c r="Z69" s="2" t="s">
        <v>35</v>
      </c>
      <c r="AA69" s="2">
        <v>0</v>
      </c>
      <c r="AB69" s="2">
        <v>0</v>
      </c>
      <c r="AC69" s="2">
        <f t="shared" si="187"/>
        <v>0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>
        <v>103.325</v>
      </c>
      <c r="BK69" s="2" t="s">
        <v>35</v>
      </c>
      <c r="BL69" s="2">
        <v>10</v>
      </c>
      <c r="BM69" s="2" t="s">
        <v>35</v>
      </c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</row>
    <row r="70" spans="2:102" x14ac:dyDescent="0.25">
      <c r="B70" s="1" t="s">
        <v>83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>
        <v>-1.8580000000000001</v>
      </c>
      <c r="O70" s="2">
        <f>-2.739-N70</f>
        <v>-0.88099999999999978</v>
      </c>
      <c r="P70" s="2">
        <f>-9.91-O70-N70</f>
        <v>-7.1709999999999994</v>
      </c>
      <c r="Q70" s="2">
        <f t="shared" ref="Q70" si="188">+SUM(BJ70)-SUM(N70:P70)</f>
        <v>-0.67099999999999937</v>
      </c>
      <c r="R70" s="2">
        <v>-0.31</v>
      </c>
      <c r="S70" s="2">
        <f>-1.457-R70</f>
        <v>-1.147</v>
      </c>
      <c r="T70" s="2">
        <f>-3.141-S70-R70</f>
        <v>-1.6839999999999999</v>
      </c>
      <c r="U70" s="2">
        <f>+SUM(BK70)-SUM(R70:T70)</f>
        <v>-7.7789999999999999</v>
      </c>
      <c r="V70" s="2">
        <v>-8</v>
      </c>
      <c r="W70" s="2">
        <v>-0.51200000000000045</v>
      </c>
      <c r="X70" s="2">
        <v>-2.7129999999999992</v>
      </c>
      <c r="Y70" s="2">
        <f t="shared" si="186"/>
        <v>-0.76900000000000013</v>
      </c>
      <c r="Z70" s="2" t="s">
        <v>35</v>
      </c>
      <c r="AA70" s="2">
        <v>-0.26600000000000001</v>
      </c>
      <c r="AB70" s="2">
        <v>-5.3029999999999999</v>
      </c>
      <c r="AC70" s="2">
        <f t="shared" si="187"/>
        <v>-2.3680000000000003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>
        <v>-10.581</v>
      </c>
      <c r="BK70" s="2">
        <v>-10.92</v>
      </c>
      <c r="BL70" s="2">
        <v>-11.994</v>
      </c>
      <c r="BM70" s="2">
        <v>-7.9370000000000003</v>
      </c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</row>
    <row r="71" spans="2:102" x14ac:dyDescent="0.25">
      <c r="B71" s="1" t="s">
        <v>99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-285.19299999999998</v>
      </c>
      <c r="AC71" s="2">
        <f t="shared" si="187"/>
        <v>0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 t="s">
        <v>35</v>
      </c>
      <c r="BK71" s="2" t="s">
        <v>35</v>
      </c>
      <c r="BL71" s="2" t="s">
        <v>35</v>
      </c>
      <c r="BM71" s="2">
        <v>-285.19299999999998</v>
      </c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</row>
    <row r="72" spans="2:102" x14ac:dyDescent="0.25">
      <c r="B72" s="1" t="s">
        <v>72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 t="s">
        <v>35</v>
      </c>
      <c r="W72" s="2">
        <v>0</v>
      </c>
      <c r="X72" s="2">
        <v>1.141</v>
      </c>
      <c r="Y72" s="2">
        <f t="shared" si="186"/>
        <v>0</v>
      </c>
      <c r="Z72" s="2" t="s">
        <v>35</v>
      </c>
      <c r="AA72" s="2">
        <v>0</v>
      </c>
      <c r="AB72" s="2">
        <v>0</v>
      </c>
      <c r="AC72" s="2">
        <f t="shared" si="187"/>
        <v>0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 t="s">
        <v>35</v>
      </c>
      <c r="BK72" s="2" t="s">
        <v>35</v>
      </c>
      <c r="BL72" s="2">
        <v>1.141</v>
      </c>
      <c r="BM72" s="2" t="s">
        <v>35</v>
      </c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</row>
    <row r="73" spans="2:102" x14ac:dyDescent="0.25">
      <c r="B73" s="1" t="s">
        <v>84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>
        <f t="shared" ref="V73:Y73" si="189">+SUM(V66:V72)</f>
        <v>-14.236000000000018</v>
      </c>
      <c r="W73" s="2">
        <f t="shared" si="189"/>
        <v>90.480000000000032</v>
      </c>
      <c r="X73" s="2">
        <f t="shared" si="189"/>
        <v>-16.157000000000039</v>
      </c>
      <c r="Y73" s="2">
        <f t="shared" si="189"/>
        <v>76.404000000000025</v>
      </c>
      <c r="Z73" s="2">
        <f t="shared" ref="Z73:AC73" si="190">+SUM(Z66:Z72)</f>
        <v>-28.238</v>
      </c>
      <c r="AA73" s="2">
        <f t="shared" si="190"/>
        <v>-12.591999999999993</v>
      </c>
      <c r="AB73" s="2">
        <f t="shared" si="190"/>
        <v>-330.96299999999997</v>
      </c>
      <c r="AC73" s="2">
        <f t="shared" si="190"/>
        <v>-42.449000000000034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>
        <f>+SUM(BJ66:BJ72)</f>
        <v>-20.028999999999964</v>
      </c>
      <c r="BK73" s="2">
        <f t="shared" ref="BK73:BM73" si="191">+SUM(BK66:BK72)</f>
        <v>-111.24399999999996</v>
      </c>
      <c r="BL73" s="2">
        <f t="shared" si="191"/>
        <v>136.49100000000004</v>
      </c>
      <c r="BM73" s="2">
        <f t="shared" si="191"/>
        <v>-414.24200000000002</v>
      </c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</row>
    <row r="74" spans="2:102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</row>
    <row r="75" spans="2:102" x14ac:dyDescent="0.25">
      <c r="B75" s="1" t="s">
        <v>86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>
        <v>7.1970000000000001</v>
      </c>
      <c r="W75" s="2">
        <v>29.421000000000003</v>
      </c>
      <c r="X75" s="2">
        <v>4.796999999999997</v>
      </c>
      <c r="Y75" s="2">
        <f>+SUM(BL75)-SUM(V75:X75)</f>
        <v>7.8620000000000019</v>
      </c>
      <c r="Z75" s="2" t="s">
        <v>35</v>
      </c>
      <c r="AA75" s="2">
        <v>7.7069999999999999</v>
      </c>
      <c r="AB75" s="2">
        <v>7.0000000000005613E-3</v>
      </c>
      <c r="AC75" s="2">
        <f t="shared" ref="AC75:AC79" si="192">+SUM(BM75)-SUM(Z75:AB75)</f>
        <v>6.7460000000000004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>
        <v>69.332999999999998</v>
      </c>
      <c r="BK75" s="2">
        <v>69.352999999999994</v>
      </c>
      <c r="BL75" s="2">
        <v>49.277000000000001</v>
      </c>
      <c r="BM75" s="2">
        <v>14.46</v>
      </c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</row>
    <row r="76" spans="2:102" x14ac:dyDescent="0.25">
      <c r="B76" s="1" t="s">
        <v>87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>
        <v>-49.948</v>
      </c>
      <c r="W76" s="2">
        <v>-16.791000000000004</v>
      </c>
      <c r="X76" s="2">
        <v>-5.9119999999999919</v>
      </c>
      <c r="Y76" s="2">
        <f t="shared" ref="Y76:Y79" si="193">+SUM(BL76)-SUM(V76:X76)</f>
        <v>-4.909000000000006</v>
      </c>
      <c r="Z76" s="2">
        <v>-38.779000000000003</v>
      </c>
      <c r="AA76" s="2">
        <v>-12.309999999999995</v>
      </c>
      <c r="AB76" s="2">
        <v>-2.1760000000000019</v>
      </c>
      <c r="AC76" s="2">
        <f t="shared" si="192"/>
        <v>-2.7000000000000028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>
        <v>-54.283000000000001</v>
      </c>
      <c r="BK76" s="2">
        <v>-76.319000000000003</v>
      </c>
      <c r="BL76" s="2">
        <v>-77.56</v>
      </c>
      <c r="BM76" s="2">
        <v>-55.965000000000003</v>
      </c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</row>
    <row r="77" spans="2:102" x14ac:dyDescent="0.25">
      <c r="B77" s="1" t="s">
        <v>88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 t="s">
        <v>35</v>
      </c>
      <c r="W77" s="2">
        <v>0</v>
      </c>
      <c r="X77" s="2">
        <v>-494.98700000000002</v>
      </c>
      <c r="Y77" s="2">
        <f t="shared" si="193"/>
        <v>0</v>
      </c>
      <c r="Z77" s="2" t="s">
        <v>35</v>
      </c>
      <c r="AA77" s="2">
        <v>0</v>
      </c>
      <c r="AB77" s="2">
        <v>0</v>
      </c>
      <c r="AC77" s="2">
        <f t="shared" si="192"/>
        <v>0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 t="s">
        <v>35</v>
      </c>
      <c r="BK77" s="2" t="s">
        <v>35</v>
      </c>
      <c r="BL77" s="2">
        <v>-494.98700000000002</v>
      </c>
      <c r="BM77" s="2" t="s">
        <v>35</v>
      </c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</row>
    <row r="78" spans="2:102" x14ac:dyDescent="0.25">
      <c r="B78" s="1" t="s">
        <v>89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 t="s">
        <v>35</v>
      </c>
      <c r="W78" s="2">
        <v>0</v>
      </c>
      <c r="X78" s="2">
        <v>0</v>
      </c>
      <c r="Y78" s="2">
        <f t="shared" si="193"/>
        <v>0</v>
      </c>
      <c r="Z78" s="2" t="s">
        <v>35</v>
      </c>
      <c r="AA78" s="2">
        <v>0</v>
      </c>
      <c r="AB78" s="2">
        <v>0</v>
      </c>
      <c r="AC78" s="2">
        <f t="shared" si="192"/>
        <v>0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>
        <v>-31.094999999999999</v>
      </c>
      <c r="BK78" s="2">
        <v>-9.4749999999999996</v>
      </c>
      <c r="BL78" s="2" t="s">
        <v>35</v>
      </c>
      <c r="BM78" s="2" t="s">
        <v>35</v>
      </c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</row>
    <row r="79" spans="2:102" x14ac:dyDescent="0.25">
      <c r="B79" s="1" t="s">
        <v>72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>
        <v>-4.2000000000000003E-2</v>
      </c>
      <c r="W79" s="2">
        <v>-1.7999999999999995E-2</v>
      </c>
      <c r="X79" s="2">
        <v>-3.0230000000000001</v>
      </c>
      <c r="Y79" s="2">
        <f t="shared" si="193"/>
        <v>-9.3999999999999861E-2</v>
      </c>
      <c r="Z79" s="2" t="s">
        <v>35</v>
      </c>
      <c r="AA79" s="2">
        <v>0</v>
      </c>
      <c r="AB79" s="2">
        <v>0</v>
      </c>
      <c r="AC79" s="2">
        <f t="shared" si="192"/>
        <v>-0.88900000000000001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>
        <v>-2.605</v>
      </c>
      <c r="BK79" s="2">
        <v>-2.286</v>
      </c>
      <c r="BL79" s="2">
        <v>-3.177</v>
      </c>
      <c r="BM79" s="2">
        <v>-0.88900000000000001</v>
      </c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</row>
    <row r="80" spans="2:102" x14ac:dyDescent="0.25">
      <c r="B80" s="1" t="s">
        <v>85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>
        <f t="shared" ref="V80:AC80" si="194">+SUM(V75:V79)</f>
        <v>-42.792999999999999</v>
      </c>
      <c r="W80" s="2">
        <f t="shared" si="194"/>
        <v>12.611999999999998</v>
      </c>
      <c r="X80" s="2">
        <f t="shared" si="194"/>
        <v>-499.12500000000006</v>
      </c>
      <c r="Y80" s="2">
        <f t="shared" si="194"/>
        <v>2.858999999999996</v>
      </c>
      <c r="Z80" s="2">
        <f t="shared" si="194"/>
        <v>-38.779000000000003</v>
      </c>
      <c r="AA80" s="2">
        <f t="shared" si="194"/>
        <v>-4.6029999999999953</v>
      </c>
      <c r="AB80" s="2">
        <f t="shared" si="194"/>
        <v>-2.1690000000000014</v>
      </c>
      <c r="AC80" s="2">
        <f t="shared" si="194"/>
        <v>3.1569999999999974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>
        <f>+SUM(BJ75:BJ79)</f>
        <v>-18.650000000000002</v>
      </c>
      <c r="BK80" s="2">
        <f>+SUM(BK75:BK79)</f>
        <v>-18.727000000000011</v>
      </c>
      <c r="BL80" s="2">
        <f>+SUM(BL75:BL79)</f>
        <v>-526.447</v>
      </c>
      <c r="BM80" s="2">
        <f>+SUM(BM75:BM79)</f>
        <v>-42.394000000000005</v>
      </c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</row>
    <row r="81" spans="2:102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</row>
    <row r="82" spans="2:102" x14ac:dyDescent="0.25">
      <c r="B82" s="1" t="s">
        <v>90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>
        <v>1.927</v>
      </c>
      <c r="W82" s="2">
        <v>3.3000000000000003</v>
      </c>
      <c r="X82" s="2">
        <v>-2.9010000000000002</v>
      </c>
      <c r="Y82" s="2">
        <f t="shared" ref="Y82" si="195">+SUM(BL82)-SUM(V82:X82)</f>
        <v>2.504</v>
      </c>
      <c r="Z82" s="2">
        <v>-1.4159999999999999</v>
      </c>
      <c r="AA82" s="2">
        <v>-3.0630000000000002</v>
      </c>
      <c r="AB82" s="2">
        <f>-3.74-AA82-Z82</f>
        <v>0.73899999999999988</v>
      </c>
      <c r="AC82" s="2">
        <f t="shared" ref="AC82" si="196">+SUM(BM82)-SUM(Z82:AB82)</f>
        <v>1.2190000000000003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>
        <v>3.2000000000000001E-2</v>
      </c>
      <c r="BK82" s="2">
        <v>1.3080000000000001</v>
      </c>
      <c r="BL82" s="2">
        <v>4.83</v>
      </c>
      <c r="BM82" s="2">
        <v>-2.5209999999999999</v>
      </c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</row>
    <row r="83" spans="2:102" x14ac:dyDescent="0.25">
      <c r="B83" s="1" t="s">
        <v>91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>
        <f t="shared" ref="V83:AB83" si="197">+V82+V80+V73+V62</f>
        <v>-8.1850000000000449</v>
      </c>
      <c r="W83" s="2">
        <f t="shared" si="197"/>
        <v>225.20800000000006</v>
      </c>
      <c r="X83" s="2">
        <f t="shared" si="197"/>
        <v>-296.70200000000006</v>
      </c>
      <c r="Y83" s="2">
        <f t="shared" si="197"/>
        <v>266.73700000000008</v>
      </c>
      <c r="Z83" s="2">
        <f t="shared" si="197"/>
        <v>105.96099999999993</v>
      </c>
      <c r="AA83" s="2">
        <f t="shared" si="197"/>
        <v>165.01300000000001</v>
      </c>
      <c r="AB83" s="2">
        <f t="shared" si="197"/>
        <v>36.291999999999973</v>
      </c>
      <c r="AC83" s="2">
        <f t="shared" ref="AC83" si="198">+AC82+AC80+AC73+AC62</f>
        <v>60.250000000000043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>
        <f>+BJ82+BJ80+BJ73+BJ62</f>
        <v>137.22999999999988</v>
      </c>
      <c r="BK83" s="2">
        <f>+BK82+BK80+BK73+BK62</f>
        <v>30.558000000000021</v>
      </c>
      <c r="BL83" s="2">
        <f>+BL82+BL80+BL73+BL62</f>
        <v>187.66699999999986</v>
      </c>
      <c r="BM83" s="2">
        <f>+BM82+BM80+BM73+BM62</f>
        <v>369.07799999999997</v>
      </c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</row>
    <row r="84" spans="2:102" x14ac:dyDescent="0.25">
      <c r="B84" s="1" t="s">
        <v>92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>
        <v>755.12699999999995</v>
      </c>
      <c r="W84" s="2">
        <v>746.94199999999989</v>
      </c>
      <c r="X84" s="2">
        <v>972.15</v>
      </c>
      <c r="Y84" s="2">
        <v>675.44799999999987</v>
      </c>
      <c r="Z84" s="2">
        <v>942.84199999999998</v>
      </c>
      <c r="AA84" s="2">
        <v>1048.8029999999999</v>
      </c>
      <c r="AB84" s="2">
        <v>1213.8159999999998</v>
      </c>
      <c r="AC84" s="2">
        <v>1213.8159999999998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>
        <v>587.27599999999995</v>
      </c>
      <c r="BK84" s="2">
        <v>724.53099999999995</v>
      </c>
      <c r="BL84" s="2">
        <v>755.12699999999995</v>
      </c>
      <c r="BM84" s="2">
        <v>943</v>
      </c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</row>
    <row r="85" spans="2:102" x14ac:dyDescent="0.25">
      <c r="B85" s="1" t="s">
        <v>93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>
        <f t="shared" ref="V85:Y85" si="199">+V84+V83</f>
        <v>746.94199999999989</v>
      </c>
      <c r="W85" s="2">
        <f t="shared" si="199"/>
        <v>972.15</v>
      </c>
      <c r="X85" s="2">
        <f t="shared" si="199"/>
        <v>675.44799999999987</v>
      </c>
      <c r="Y85" s="2">
        <f t="shared" si="199"/>
        <v>942.18499999999995</v>
      </c>
      <c r="Z85" s="2">
        <f t="shared" ref="Z85:AA85" si="200">+Z84+Z83</f>
        <v>1048.8029999999999</v>
      </c>
      <c r="AA85" s="2">
        <f t="shared" si="200"/>
        <v>1213.8159999999998</v>
      </c>
      <c r="AB85" s="2">
        <f t="shared" ref="AB85:AC85" si="201">+AB84+AB83</f>
        <v>1250.1079999999997</v>
      </c>
      <c r="AC85" s="2">
        <f t="shared" si="201"/>
        <v>1274.0659999999998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>
        <f>+BJ84+BJ83</f>
        <v>724.50599999999986</v>
      </c>
      <c r="BK85" s="2">
        <f t="shared" ref="BK85:BL85" si="202">+BK84+BK83</f>
        <v>755.08899999999994</v>
      </c>
      <c r="BL85" s="2">
        <f t="shared" si="202"/>
        <v>942.79399999999987</v>
      </c>
      <c r="BM85" s="2">
        <f t="shared" ref="BM85" si="203">+BM84+BM83</f>
        <v>1312.078</v>
      </c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</row>
    <row r="86" spans="2:102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</row>
    <row r="87" spans="2:102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</row>
    <row r="88" spans="2:102" x14ac:dyDescent="0.25">
      <c r="B88" s="1" t="s">
        <v>94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>
        <f t="shared" ref="N88:Q88" si="204">+N62+N66</f>
        <v>-74.24799999999999</v>
      </c>
      <c r="O88" s="2">
        <f t="shared" si="204"/>
        <v>29.072000000000003</v>
      </c>
      <c r="P88" s="2">
        <f t="shared" si="204"/>
        <v>129.02100000000002</v>
      </c>
      <c r="Q88" s="2">
        <f t="shared" si="204"/>
        <v>-28.927000000000206</v>
      </c>
      <c r="R88" s="2">
        <f t="shared" ref="R88:U88" si="205">+R62+R66</f>
        <v>-98.388000000000005</v>
      </c>
      <c r="S88" s="2">
        <f t="shared" si="205"/>
        <v>48.478999999999999</v>
      </c>
      <c r="T88" s="2">
        <f t="shared" si="205"/>
        <v>113.91100000000002</v>
      </c>
      <c r="U88" s="2">
        <f t="shared" si="205"/>
        <v>-1.4720000000000368</v>
      </c>
      <c r="V88" s="2">
        <f t="shared" ref="V88:AA88" si="206">+V62+V66</f>
        <v>20.812999999999974</v>
      </c>
      <c r="W88" s="2">
        <f t="shared" si="206"/>
        <v>97.489000000000033</v>
      </c>
      <c r="X88" s="2">
        <f t="shared" si="206"/>
        <v>203.01800000000003</v>
      </c>
      <c r="Y88" s="2">
        <f t="shared" si="206"/>
        <v>165.44000000000005</v>
      </c>
      <c r="Z88" s="2">
        <f t="shared" si="206"/>
        <v>157.62599999999992</v>
      </c>
      <c r="AA88" s="2">
        <f t="shared" si="206"/>
        <v>168.17</v>
      </c>
      <c r="AB88" s="2">
        <f t="shared" ref="AB88:AC88" si="207">+AB62+AB66</f>
        <v>340.23799999999994</v>
      </c>
      <c r="AC88" s="2">
        <f t="shared" si="207"/>
        <v>57.601000000000084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>
        <f>+BJ62+BJ66</f>
        <v>54.917999999999836</v>
      </c>
      <c r="BK88" s="2">
        <f>+BK62+BK66</f>
        <v>62.529999999999973</v>
      </c>
      <c r="BL88" s="2">
        <f>+BL62+BL66</f>
        <v>487.3689999999998</v>
      </c>
      <c r="BM88" s="2">
        <f>+BM62+BM66</f>
        <v>725.197</v>
      </c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</row>
    <row r="89" spans="2:102" x14ac:dyDescent="0.25">
      <c r="B89" s="9" t="s">
        <v>95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9">
        <f>+Z88/V88-1</f>
        <v>6.5734396771248793</v>
      </c>
      <c r="AA89" s="9">
        <f>+AA88/W88-1</f>
        <v>0.72501512991209194</v>
      </c>
      <c r="AB89" s="9">
        <f>+AB88/X88-1</f>
        <v>0.67590065905486152</v>
      </c>
      <c r="AC89" s="9">
        <f>+AC88/Y88-1</f>
        <v>-0.6518314796905218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9">
        <f>+BK88/BJ88-1</f>
        <v>0.13860664991442073</v>
      </c>
      <c r="BL89" s="9">
        <f>+BL88/BK88-1</f>
        <v>6.7941628018551095</v>
      </c>
      <c r="BM89" s="9">
        <f>+BM88/BL88-1</f>
        <v>0.48798343760066865</v>
      </c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</row>
    <row r="90" spans="2:102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</row>
    <row r="91" spans="2:102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spans="2:102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</row>
    <row r="93" spans="2:102" x14ac:dyDescent="0.25">
      <c r="B93" s="1" t="s">
        <v>102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>
        <v>4951.549</v>
      </c>
      <c r="BL93" s="2">
        <v>5657.99</v>
      </c>
      <c r="BM93" s="2">
        <v>6086.9989999999998</v>
      </c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</row>
    <row r="94" spans="2:102" x14ac:dyDescent="0.25">
      <c r="B94" s="1" t="s">
        <v>101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6">
        <f>+BK32/BK93</f>
        <v>3.3849407528835945E-2</v>
      </c>
      <c r="BL94" s="6">
        <f>+BL32/BL93</f>
        <v>7.5435622897884205E-2</v>
      </c>
      <c r="BM94" s="6">
        <f>+BM32/BM93</f>
        <v>5.7358642575758609E-2</v>
      </c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</row>
    <row r="95" spans="2:102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</row>
    <row r="96" spans="2:102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</row>
    <row r="97" spans="3:102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</row>
    <row r="98" spans="3:102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</row>
    <row r="99" spans="3:102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</row>
    <row r="100" spans="3:102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</row>
    <row r="101" spans="3:102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</row>
    <row r="102" spans="3:102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</row>
    <row r="103" spans="3:102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</row>
    <row r="104" spans="3:102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</row>
    <row r="105" spans="3:102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</row>
    <row r="106" spans="3:102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</row>
    <row r="107" spans="3:102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</row>
    <row r="108" spans="3:102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</row>
    <row r="109" spans="3:102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</row>
    <row r="110" spans="3:102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</row>
    <row r="111" spans="3:102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</row>
    <row r="112" spans="3:102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</row>
    <row r="113" spans="3:102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</row>
    <row r="114" spans="3:102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</row>
  </sheetData>
  <phoneticPr fontId="2" type="noConversion"/>
  <hyperlinks>
    <hyperlink ref="A1" location="Main!A1" display="main" xr:uid="{714A70A2-068A-4627-B448-9D32FA37C071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326E-EC0D-43DE-B2BF-DA0C3B16FCA3}">
  <dimension ref="A1:C30"/>
  <sheetViews>
    <sheetView zoomScale="130" zoomScaleNormal="130" workbookViewId="0"/>
  </sheetViews>
  <sheetFormatPr defaultRowHeight="14.4" x14ac:dyDescent="0.25"/>
  <cols>
    <col min="1" max="1" width="4.77734375" style="1" customWidth="1"/>
    <col min="2" max="2" width="8.88671875" style="1"/>
    <col min="3" max="3" width="9.109375" style="1" bestFit="1" customWidth="1"/>
    <col min="4" max="16384" width="8.88671875" style="1"/>
  </cols>
  <sheetData>
    <row r="1" spans="1:3" ht="13.2" x14ac:dyDescent="0.25">
      <c r="A1" s="3" t="s">
        <v>15</v>
      </c>
    </row>
    <row r="2" spans="1:3" ht="13.2" x14ac:dyDescent="0.25">
      <c r="B2" s="1" t="s">
        <v>103</v>
      </c>
      <c r="C2" s="1" t="s">
        <v>181</v>
      </c>
    </row>
    <row r="3" spans="1:3" ht="13.2" x14ac:dyDescent="0.25">
      <c r="B3" s="1" t="s">
        <v>118</v>
      </c>
      <c r="C3" s="25" t="s">
        <v>182</v>
      </c>
    </row>
    <row r="4" spans="1:3" ht="13.2" x14ac:dyDescent="0.25">
      <c r="B4" s="1" t="s">
        <v>119</v>
      </c>
      <c r="C4" s="26" t="s">
        <v>184</v>
      </c>
    </row>
    <row r="5" spans="1:3" ht="13.2" x14ac:dyDescent="0.25">
      <c r="C5" s="26"/>
    </row>
    <row r="6" spans="1:3" ht="13.2" x14ac:dyDescent="0.25">
      <c r="C6" s="26" t="s">
        <v>217</v>
      </c>
    </row>
    <row r="7" spans="1:3" ht="13.2" x14ac:dyDescent="0.25">
      <c r="C7" s="26"/>
    </row>
    <row r="8" spans="1:3" ht="13.2" x14ac:dyDescent="0.25">
      <c r="C8" s="26"/>
    </row>
    <row r="9" spans="1:3" ht="13.2" x14ac:dyDescent="0.25">
      <c r="C9" s="26"/>
    </row>
    <row r="10" spans="1:3" ht="13.2" x14ac:dyDescent="0.25">
      <c r="C10" s="26"/>
    </row>
    <row r="11" spans="1:3" ht="13.2" x14ac:dyDescent="0.25">
      <c r="C11" s="26"/>
    </row>
    <row r="12" spans="1:3" ht="13.2" x14ac:dyDescent="0.25">
      <c r="C12" s="12"/>
    </row>
    <row r="13" spans="1:3" ht="13.2" x14ac:dyDescent="0.25">
      <c r="B13" s="1" t="s">
        <v>120</v>
      </c>
    </row>
    <row r="14" spans="1:3" ht="13.2" x14ac:dyDescent="0.25"/>
    <row r="15" spans="1:3" ht="13.2" x14ac:dyDescent="0.25">
      <c r="B15" s="1" t="s">
        <v>121</v>
      </c>
    </row>
    <row r="16" spans="1:3" ht="13.2" x14ac:dyDescent="0.25">
      <c r="B16" s="1" t="s">
        <v>123</v>
      </c>
      <c r="C16" s="29">
        <v>2003</v>
      </c>
    </row>
    <row r="17" spans="2:3" ht="13.2" x14ac:dyDescent="0.25">
      <c r="C17" s="24" t="s">
        <v>183</v>
      </c>
    </row>
    <row r="18" spans="2:3" ht="13.2" x14ac:dyDescent="0.25">
      <c r="C18" s="24"/>
    </row>
    <row r="20" spans="2:3" ht="13.2" x14ac:dyDescent="0.25">
      <c r="B20" s="1" t="s">
        <v>141</v>
      </c>
    </row>
    <row r="21" spans="2:3" ht="13.2" x14ac:dyDescent="0.25"/>
    <row r="22" spans="2:3" ht="13.2" x14ac:dyDescent="0.25">
      <c r="B22" s="1" t="s">
        <v>142</v>
      </c>
    </row>
    <row r="25" spans="2:3" ht="13.2" x14ac:dyDescent="0.25">
      <c r="B25" s="1" t="s">
        <v>132</v>
      </c>
    </row>
    <row r="30" spans="2:3" ht="13.2" x14ac:dyDescent="0.25">
      <c r="B30" s="1" t="s">
        <v>130</v>
      </c>
    </row>
  </sheetData>
  <hyperlinks>
    <hyperlink ref="A1" location="Main!A1" display="main" xr:uid="{D56B55D9-7FF2-4ADB-886C-3ECB2E3FE49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6BAA-F0B1-4108-BA93-FE3E6F29E64E}">
  <dimension ref="A1:C30"/>
  <sheetViews>
    <sheetView zoomScale="130" zoomScaleNormal="130" workbookViewId="0"/>
  </sheetViews>
  <sheetFormatPr defaultRowHeight="13.2" x14ac:dyDescent="0.25"/>
  <cols>
    <col min="1" max="1" width="4.77734375" style="1" customWidth="1"/>
    <col min="2" max="2" width="8.88671875" style="1"/>
    <col min="3" max="3" width="9.109375" style="1" bestFit="1" customWidth="1"/>
    <col min="4" max="16384" width="8.88671875" style="1"/>
  </cols>
  <sheetData>
    <row r="1" spans="1:3" x14ac:dyDescent="0.25">
      <c r="A1" s="3" t="s">
        <v>15</v>
      </c>
    </row>
    <row r="2" spans="1:3" x14ac:dyDescent="0.25">
      <c r="B2" s="1" t="s">
        <v>103</v>
      </c>
      <c r="C2" s="1" t="s">
        <v>213</v>
      </c>
    </row>
    <row r="3" spans="1:3" x14ac:dyDescent="0.25">
      <c r="B3" s="1" t="s">
        <v>118</v>
      </c>
      <c r="C3" s="25" t="s">
        <v>214</v>
      </c>
    </row>
    <row r="4" spans="1:3" x14ac:dyDescent="0.25">
      <c r="B4" s="1" t="s">
        <v>119</v>
      </c>
      <c r="C4" s="26" t="s">
        <v>186</v>
      </c>
    </row>
    <row r="5" spans="1:3" x14ac:dyDescent="0.25">
      <c r="C5" s="26"/>
    </row>
    <row r="6" spans="1:3" x14ac:dyDescent="0.25">
      <c r="C6" s="26" t="s">
        <v>215</v>
      </c>
    </row>
    <row r="7" spans="1:3" x14ac:dyDescent="0.25">
      <c r="C7" s="26"/>
    </row>
    <row r="8" spans="1:3" x14ac:dyDescent="0.25">
      <c r="C8" s="26"/>
    </row>
    <row r="9" spans="1:3" x14ac:dyDescent="0.25">
      <c r="C9" s="26"/>
    </row>
    <row r="10" spans="1:3" x14ac:dyDescent="0.25">
      <c r="C10" s="26"/>
    </row>
    <row r="11" spans="1:3" x14ac:dyDescent="0.25">
      <c r="C11" s="26"/>
    </row>
    <row r="12" spans="1:3" x14ac:dyDescent="0.25">
      <c r="C12" s="12"/>
    </row>
    <row r="13" spans="1:3" x14ac:dyDescent="0.25">
      <c r="B13" s="1" t="s">
        <v>120</v>
      </c>
    </row>
    <row r="15" spans="1:3" x14ac:dyDescent="0.25">
      <c r="B15" s="1" t="s">
        <v>121</v>
      </c>
    </row>
    <row r="16" spans="1:3" x14ac:dyDescent="0.25">
      <c r="B16" s="1" t="s">
        <v>123</v>
      </c>
      <c r="C16" s="29">
        <v>2003</v>
      </c>
    </row>
    <row r="17" spans="2:3" x14ac:dyDescent="0.25">
      <c r="C17" s="24" t="s">
        <v>183</v>
      </c>
    </row>
    <row r="18" spans="2:3" x14ac:dyDescent="0.25">
      <c r="C18" s="24"/>
    </row>
    <row r="20" spans="2:3" x14ac:dyDescent="0.25">
      <c r="B20" s="1" t="s">
        <v>141</v>
      </c>
    </row>
    <row r="22" spans="2:3" x14ac:dyDescent="0.25">
      <c r="B22" s="1" t="s">
        <v>142</v>
      </c>
    </row>
    <row r="25" spans="2:3" x14ac:dyDescent="0.25">
      <c r="B25" s="1" t="s">
        <v>132</v>
      </c>
    </row>
    <row r="30" spans="2:3" x14ac:dyDescent="0.25">
      <c r="B30" s="1" t="s">
        <v>130</v>
      </c>
    </row>
  </sheetData>
  <hyperlinks>
    <hyperlink ref="A1" location="Main!A1" display="main" xr:uid="{C114D75B-CE39-4C10-A652-AFCA73BB951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D741-E51A-4227-9464-F2F74984A7D0}">
  <dimension ref="A1:C28"/>
  <sheetViews>
    <sheetView zoomScale="130" zoomScaleNormal="130" workbookViewId="0">
      <selection activeCell="A10" sqref="A1:XFD1048576"/>
    </sheetView>
  </sheetViews>
  <sheetFormatPr defaultRowHeight="13.2" x14ac:dyDescent="0.25"/>
  <cols>
    <col min="1" max="1" width="4.77734375" style="1" customWidth="1"/>
    <col min="2" max="2" width="8.88671875" style="1"/>
    <col min="3" max="3" width="9.109375" style="1" bestFit="1" customWidth="1"/>
    <col min="4" max="16384" width="8.88671875" style="1"/>
  </cols>
  <sheetData>
    <row r="1" spans="1:3" x14ac:dyDescent="0.25">
      <c r="A1" s="3" t="s">
        <v>15</v>
      </c>
    </row>
    <row r="2" spans="1:3" x14ac:dyDescent="0.25">
      <c r="B2" s="1" t="s">
        <v>103</v>
      </c>
      <c r="C2" s="1" t="s">
        <v>107</v>
      </c>
    </row>
    <row r="3" spans="1:3" x14ac:dyDescent="0.25">
      <c r="B3" s="1" t="s">
        <v>118</v>
      </c>
      <c r="C3" s="25" t="s">
        <v>133</v>
      </c>
    </row>
    <row r="4" spans="1:3" x14ac:dyDescent="0.25">
      <c r="B4" s="1" t="s">
        <v>119</v>
      </c>
      <c r="C4" s="26" t="s">
        <v>134</v>
      </c>
    </row>
    <row r="5" spans="1:3" x14ac:dyDescent="0.25">
      <c r="C5" s="26" t="s">
        <v>135</v>
      </c>
    </row>
    <row r="6" spans="1:3" x14ac:dyDescent="0.25">
      <c r="C6" s="26" t="s">
        <v>136</v>
      </c>
    </row>
    <row r="7" spans="1:3" x14ac:dyDescent="0.25">
      <c r="C7" s="26"/>
    </row>
    <row r="8" spans="1:3" x14ac:dyDescent="0.25">
      <c r="C8" s="26" t="s">
        <v>137</v>
      </c>
    </row>
    <row r="9" spans="1:3" x14ac:dyDescent="0.25">
      <c r="C9" s="26" t="s">
        <v>138</v>
      </c>
    </row>
    <row r="10" spans="1:3" x14ac:dyDescent="0.25">
      <c r="C10" s="26"/>
    </row>
    <row r="11" spans="1:3" x14ac:dyDescent="0.25">
      <c r="C11" s="26"/>
    </row>
    <row r="12" spans="1:3" x14ac:dyDescent="0.25">
      <c r="C12" s="12"/>
    </row>
    <row r="13" spans="1:3" x14ac:dyDescent="0.25">
      <c r="B13" s="1" t="s">
        <v>120</v>
      </c>
      <c r="C13" s="1" t="s">
        <v>139</v>
      </c>
    </row>
    <row r="14" spans="1:3" x14ac:dyDescent="0.25">
      <c r="C14" s="1" t="s">
        <v>140</v>
      </c>
    </row>
    <row r="15" spans="1:3" x14ac:dyDescent="0.25">
      <c r="B15" s="1" t="s">
        <v>121</v>
      </c>
    </row>
    <row r="16" spans="1:3" x14ac:dyDescent="0.25">
      <c r="B16" s="1" t="s">
        <v>123</v>
      </c>
      <c r="C16" s="24">
        <v>42852</v>
      </c>
    </row>
    <row r="18" spans="2:3" x14ac:dyDescent="0.25">
      <c r="B18" s="1" t="s">
        <v>141</v>
      </c>
      <c r="C18" s="1" t="s">
        <v>143</v>
      </c>
    </row>
    <row r="19" spans="2:3" x14ac:dyDescent="0.25">
      <c r="C19" s="1" t="s">
        <v>144</v>
      </c>
    </row>
    <row r="20" spans="2:3" x14ac:dyDescent="0.25">
      <c r="B20" s="1" t="s">
        <v>142</v>
      </c>
      <c r="C20" s="1" t="s">
        <v>145</v>
      </c>
    </row>
    <row r="23" spans="2:3" x14ac:dyDescent="0.25">
      <c r="B23" s="1" t="s">
        <v>132</v>
      </c>
      <c r="C23" s="1">
        <v>761052</v>
      </c>
    </row>
    <row r="28" spans="2:3" x14ac:dyDescent="0.25">
      <c r="B28" s="1" t="s">
        <v>130</v>
      </c>
    </row>
  </sheetData>
  <hyperlinks>
    <hyperlink ref="A1" location="Main!A1" display="main" xr:uid="{E3A15C38-4FA6-49EE-8A96-EC5EAEF92E3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9D53-34BC-4A02-A7B2-1A725A217C51}">
  <dimension ref="A1:C28"/>
  <sheetViews>
    <sheetView tabSelected="1" zoomScale="130" zoomScaleNormal="130" workbookViewId="0">
      <selection activeCell="E4" sqref="E4"/>
    </sheetView>
  </sheetViews>
  <sheetFormatPr defaultRowHeight="13.2" x14ac:dyDescent="0.25"/>
  <cols>
    <col min="1" max="1" width="4.77734375" style="1" customWidth="1"/>
    <col min="2" max="2" width="8.88671875" style="1"/>
    <col min="3" max="3" width="10.109375" style="1" bestFit="1" customWidth="1"/>
    <col min="4" max="16384" width="8.88671875" style="1"/>
  </cols>
  <sheetData>
    <row r="1" spans="1:3" x14ac:dyDescent="0.25">
      <c r="A1" s="3" t="s">
        <v>15</v>
      </c>
    </row>
    <row r="2" spans="1:3" x14ac:dyDescent="0.25">
      <c r="B2" s="1" t="s">
        <v>103</v>
      </c>
      <c r="C2" s="1" t="s">
        <v>171</v>
      </c>
    </row>
    <row r="3" spans="1:3" x14ac:dyDescent="0.25">
      <c r="B3" s="1" t="s">
        <v>118</v>
      </c>
      <c r="C3" s="25" t="s">
        <v>173</v>
      </c>
    </row>
    <row r="4" spans="1:3" x14ac:dyDescent="0.25">
      <c r="B4" s="1" t="s">
        <v>119</v>
      </c>
      <c r="C4" s="26" t="s">
        <v>175</v>
      </c>
    </row>
    <row r="5" spans="1:3" x14ac:dyDescent="0.25">
      <c r="C5" s="26"/>
    </row>
    <row r="6" spans="1:3" x14ac:dyDescent="0.25">
      <c r="C6" s="26" t="s">
        <v>217</v>
      </c>
    </row>
    <row r="7" spans="1:3" x14ac:dyDescent="0.25">
      <c r="C7" s="26" t="s">
        <v>218</v>
      </c>
    </row>
    <row r="8" spans="1:3" x14ac:dyDescent="0.25">
      <c r="C8" s="26"/>
    </row>
    <row r="9" spans="1:3" x14ac:dyDescent="0.25">
      <c r="B9" s="1" t="s">
        <v>154</v>
      </c>
      <c r="C9" s="26" t="s">
        <v>176</v>
      </c>
    </row>
    <row r="10" spans="1:3" x14ac:dyDescent="0.25">
      <c r="C10" s="26" t="s">
        <v>177</v>
      </c>
    </row>
    <row r="11" spans="1:3" x14ac:dyDescent="0.25">
      <c r="C11" s="26" t="s">
        <v>178</v>
      </c>
    </row>
    <row r="12" spans="1:3" x14ac:dyDescent="0.25">
      <c r="C12" s="26" t="s">
        <v>179</v>
      </c>
    </row>
    <row r="13" spans="1:3" x14ac:dyDescent="0.25">
      <c r="C13" s="26" t="s">
        <v>180</v>
      </c>
    </row>
    <row r="14" spans="1:3" x14ac:dyDescent="0.25">
      <c r="C14" s="26"/>
    </row>
    <row r="15" spans="1:3" x14ac:dyDescent="0.25">
      <c r="B15" s="1" t="s">
        <v>174</v>
      </c>
      <c r="C15" s="26" t="s">
        <v>113</v>
      </c>
    </row>
    <row r="16" spans="1:3" x14ac:dyDescent="0.25">
      <c r="C16" s="26"/>
    </row>
    <row r="17" spans="2:3" x14ac:dyDescent="0.25">
      <c r="C17" s="26"/>
    </row>
    <row r="18" spans="2:3" x14ac:dyDescent="0.25">
      <c r="C18" s="26"/>
    </row>
    <row r="19" spans="2:3" x14ac:dyDescent="0.25">
      <c r="B19" s="1" t="s">
        <v>120</v>
      </c>
      <c r="C19" s="1" t="s">
        <v>110</v>
      </c>
    </row>
    <row r="21" spans="2:3" x14ac:dyDescent="0.25">
      <c r="B21" s="1" t="s">
        <v>123</v>
      </c>
      <c r="C21" s="24">
        <v>41684</v>
      </c>
    </row>
    <row r="23" spans="2:3" x14ac:dyDescent="0.25">
      <c r="B23" s="1" t="s">
        <v>141</v>
      </c>
    </row>
    <row r="25" spans="2:3" x14ac:dyDescent="0.25">
      <c r="B25" s="1" t="s">
        <v>142</v>
      </c>
    </row>
    <row r="28" spans="2:3" x14ac:dyDescent="0.25">
      <c r="B28" s="1" t="s">
        <v>132</v>
      </c>
      <c r="C28" s="1">
        <v>125460</v>
      </c>
    </row>
  </sheetData>
  <hyperlinks>
    <hyperlink ref="A1" location="Main!A1" display="main" xr:uid="{7963421A-8439-485C-92DD-6A044620AD0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4098-A733-41EB-86AD-D86C2790F86F}">
  <dimension ref="A1:C23"/>
  <sheetViews>
    <sheetView zoomScale="130" zoomScaleNormal="130" workbookViewId="0">
      <selection activeCell="A11" sqref="A1:XFD1048576"/>
    </sheetView>
  </sheetViews>
  <sheetFormatPr defaultRowHeight="13.2" x14ac:dyDescent="0.25"/>
  <cols>
    <col min="1" max="1" width="4.77734375" style="1" customWidth="1"/>
    <col min="2" max="2" width="8.88671875" style="1"/>
    <col min="3" max="3" width="10.109375" style="1" bestFit="1" customWidth="1"/>
    <col min="4" max="16384" width="8.88671875" style="1"/>
  </cols>
  <sheetData>
    <row r="1" spans="1:3" x14ac:dyDescent="0.25">
      <c r="A1" s="3" t="s">
        <v>15</v>
      </c>
    </row>
    <row r="2" spans="1:3" x14ac:dyDescent="0.25">
      <c r="B2" s="1" t="s">
        <v>103</v>
      </c>
      <c r="C2" s="1" t="s">
        <v>24</v>
      </c>
    </row>
    <row r="3" spans="1:3" x14ac:dyDescent="0.25">
      <c r="B3" s="1" t="s">
        <v>118</v>
      </c>
      <c r="C3" s="25" t="s">
        <v>147</v>
      </c>
    </row>
    <row r="4" spans="1:3" x14ac:dyDescent="0.25">
      <c r="B4" s="1" t="s">
        <v>119</v>
      </c>
      <c r="C4" s="26" t="s">
        <v>148</v>
      </c>
    </row>
    <row r="5" spans="1:3" x14ac:dyDescent="0.25">
      <c r="B5" s="1" t="s">
        <v>154</v>
      </c>
      <c r="C5" s="26" t="s">
        <v>155</v>
      </c>
    </row>
    <row r="6" spans="1:3" x14ac:dyDescent="0.25">
      <c r="C6" s="26" t="s">
        <v>156</v>
      </c>
    </row>
    <row r="7" spans="1:3" x14ac:dyDescent="0.25">
      <c r="C7" s="26" t="s">
        <v>157</v>
      </c>
    </row>
    <row r="8" spans="1:3" x14ac:dyDescent="0.25">
      <c r="C8" s="26" t="s">
        <v>158</v>
      </c>
    </row>
    <row r="9" spans="1:3" x14ac:dyDescent="0.25">
      <c r="C9" s="26" t="s">
        <v>159</v>
      </c>
    </row>
    <row r="10" spans="1:3" x14ac:dyDescent="0.25">
      <c r="C10" s="26"/>
    </row>
    <row r="11" spans="1:3" x14ac:dyDescent="0.25">
      <c r="C11" s="26"/>
    </row>
    <row r="12" spans="1:3" x14ac:dyDescent="0.25">
      <c r="C12" s="26"/>
    </row>
    <row r="13" spans="1:3" x14ac:dyDescent="0.25">
      <c r="B13" s="1" t="s">
        <v>120</v>
      </c>
      <c r="C13" s="1" t="s">
        <v>153</v>
      </c>
    </row>
    <row r="15" spans="1:3" x14ac:dyDescent="0.25">
      <c r="B15" s="1" t="s">
        <v>121</v>
      </c>
    </row>
    <row r="16" spans="1:3" x14ac:dyDescent="0.25">
      <c r="B16" s="1" t="s">
        <v>123</v>
      </c>
      <c r="C16" s="24">
        <v>44519</v>
      </c>
    </row>
    <row r="18" spans="2:3" x14ac:dyDescent="0.25">
      <c r="B18" s="1" t="s">
        <v>141</v>
      </c>
      <c r="C18" s="1" t="s">
        <v>150</v>
      </c>
    </row>
    <row r="20" spans="2:3" x14ac:dyDescent="0.25">
      <c r="B20" s="1" t="s">
        <v>142</v>
      </c>
      <c r="C20" s="1" t="s">
        <v>152</v>
      </c>
    </row>
    <row r="23" spans="2:3" x14ac:dyDescent="0.25">
      <c r="B23" s="1" t="s">
        <v>151</v>
      </c>
      <c r="C23" s="1">
        <v>214938</v>
      </c>
    </row>
  </sheetData>
  <hyperlinks>
    <hyperlink ref="A1" location="Main!A1" display="main" xr:uid="{FD679759-698D-4C72-BC03-70D30ED0A9A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E178-40BF-464E-8A80-EECC374AA51D}">
  <dimension ref="A1:C13"/>
  <sheetViews>
    <sheetView zoomScale="130" zoomScaleNormal="130" workbookViewId="0">
      <selection activeCell="C19" sqref="A1:XFD1048576"/>
    </sheetView>
  </sheetViews>
  <sheetFormatPr defaultRowHeight="13.2" x14ac:dyDescent="0.25"/>
  <cols>
    <col min="1" max="1" width="4.77734375" style="1" customWidth="1"/>
    <col min="2" max="16384" width="8.88671875" style="1"/>
  </cols>
  <sheetData>
    <row r="1" spans="1:3" x14ac:dyDescent="0.25">
      <c r="A1" s="3" t="s">
        <v>15</v>
      </c>
    </row>
    <row r="2" spans="1:3" x14ac:dyDescent="0.25">
      <c r="B2" s="1" t="s">
        <v>103</v>
      </c>
    </row>
    <row r="3" spans="1:3" x14ac:dyDescent="0.25">
      <c r="B3" s="1" t="s">
        <v>118</v>
      </c>
      <c r="C3" s="1" t="s">
        <v>115</v>
      </c>
    </row>
    <row r="4" spans="1:3" x14ac:dyDescent="0.25">
      <c r="B4" s="1" t="s">
        <v>119</v>
      </c>
      <c r="C4" s="1" t="s">
        <v>124</v>
      </c>
    </row>
    <row r="5" spans="1:3" x14ac:dyDescent="0.25">
      <c r="B5" s="1" t="s">
        <v>120</v>
      </c>
      <c r="C5" s="1" t="s">
        <v>110</v>
      </c>
    </row>
    <row r="6" spans="1:3" x14ac:dyDescent="0.25">
      <c r="B6" s="1" t="s">
        <v>121</v>
      </c>
      <c r="C6" s="1" t="s">
        <v>122</v>
      </c>
    </row>
    <row r="7" spans="1:3" x14ac:dyDescent="0.25">
      <c r="B7" s="1" t="s">
        <v>123</v>
      </c>
      <c r="C7" s="1">
        <v>2023</v>
      </c>
    </row>
    <row r="12" spans="1:3" x14ac:dyDescent="0.25">
      <c r="B12" s="1" t="s">
        <v>125</v>
      </c>
    </row>
    <row r="13" spans="1:3" x14ac:dyDescent="0.25">
      <c r="B13" s="1" t="s">
        <v>126</v>
      </c>
    </row>
  </sheetData>
  <hyperlinks>
    <hyperlink ref="A1" location="Main!A1" display="main" xr:uid="{2A2D83A0-EF0A-4423-AEEE-F61042B749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Model</vt:lpstr>
      <vt:lpstr>ALDURAZYME</vt:lpstr>
      <vt:lpstr>NAGLAZYME</vt:lpstr>
      <vt:lpstr>Brineura</vt:lpstr>
      <vt:lpstr>VIMIZIM</vt:lpstr>
      <vt:lpstr>VOXZOGO</vt:lpstr>
      <vt:lpstr>Roctavian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Kessler</dc:creator>
  <cp:lastModifiedBy>Franciszek Kessler</cp:lastModifiedBy>
  <dcterms:created xsi:type="dcterms:W3CDTF">2024-01-06T21:29:40Z</dcterms:created>
  <dcterms:modified xsi:type="dcterms:W3CDTF">2026-03-13T20:00:04Z</dcterms:modified>
</cp:coreProperties>
</file>